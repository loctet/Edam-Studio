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ap" sheetId="1" state="visible" r:id="rId3"/>
    <sheet name="AMM_100_0.01_no_pi" sheetId="2" state="visible" r:id="rId4"/>
    <sheet name="AssetTransfer_5000_0.01_no_pi" sheetId="3" state="visible" r:id="rId5"/>
    <sheet name="BasicProvenance_10000_0.01_no_p" sheetId="4" state="visible" r:id="rId6"/>
    <sheet name="Cm_5000_0.01_no_pi" sheetId="5" state="visible" r:id="rId7"/>
    <sheet name="DefectiveCounter_10000_0.01_no_" sheetId="6" state="visible" r:id="rId8"/>
    <sheet name="DefectiveCounter_10000_0.5_no_p" sheetId="7" state="visible" r:id="rId9"/>
    <sheet name="DigitalLocker_2500_0.4_no_pi" sheetId="8" state="visible" r:id="rId10"/>
    <sheet name="FrequentFlyer_10000_0.01_no_pi" sheetId="9" state="visible" r:id="rId11"/>
    <sheet name="FrequentFlyer_10000_0.5_no_pi" sheetId="10" state="visible" r:id="rId12"/>
    <sheet name="HelloBlockchain_10000_0.01_no_p" sheetId="11" state="visible" r:id="rId13"/>
    <sheet name="RefrigeratedTransport_10000_0.0" sheetId="12" state="visible" r:id="rId14"/>
    <sheet name="Simplemarketplace_10000_0.01_no" sheetId="13" state="visible" r:id="rId15"/>
    <sheet name="ThermostatOperation_10000_0.5_n" sheetId="14" state="visible" r:id="rId16"/>
    <sheet name="Token1_10000_0.01_no_pi" sheetId="15" state="visible" r:id="rId17"/>
    <sheet name="WalletContract_10000_0.01_no_pi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<sst xmlns="http://schemas.openxmlformats.org/spreadsheetml/2006/main" count="878" uniqueCount="90">
  <si>
    <t xml:space="preserve">Test</t>
  </si>
  <si>
    <t xml:space="preserve">Test Generation Time</t>
  </si>
  <si>
    <t xml:space="preserve">Mutation Testing Time</t>
  </si>
  <si>
    <t xml:space="preserve">Mutation Score</t>
  </si>
  <si>
    <t xml:space="preserve">AMM_100_0.01_no_pi</t>
  </si>
  <si>
    <t xml:space="preserve">AssetTransfer_5000_0.01_no_pi</t>
  </si>
  <si>
    <t xml:space="preserve">BasicProvenance_10000_0.01_no_pi</t>
  </si>
  <si>
    <t xml:space="preserve">Cm_5000_0.01_no_pi</t>
  </si>
  <si>
    <t xml:space="preserve">DefectiveCounter_10000_0.01_no_pi</t>
  </si>
  <si>
    <t xml:space="preserve">DefectiveCounter_10000_0.5_no_pi</t>
  </si>
  <si>
    <t xml:space="preserve">DigitalLocker_2500_0.4_no_pi</t>
  </si>
  <si>
    <t xml:space="preserve">FrequentFlyer_10000_0.01_no_pi</t>
  </si>
  <si>
    <t xml:space="preserve">FrequentFlyer_10000_0.5_no_pi</t>
  </si>
  <si>
    <t xml:space="preserve">HelloBlockchain_10000_0.01_no_pi</t>
  </si>
  <si>
    <t xml:space="preserve">RefrigeratedTransport_10000_0.01_no_pi</t>
  </si>
  <si>
    <t xml:space="preserve">Simplemarketplace_10000_0.01_no_pi</t>
  </si>
  <si>
    <t xml:space="preserve">ThermostatOperation_10000_0.5_no_pi</t>
  </si>
  <si>
    <t xml:space="preserve">Token1_10000_0.01_no_pi</t>
  </si>
  <si>
    <t xml:space="preserve">WalletContract_10000_0.01_no_pi</t>
  </si>
  <si>
    <t xml:space="preserve">PI</t>
  </si>
  <si>
    <t xml:space="preserve">NO_PI</t>
  </si>
  <si>
    <t xml:space="preserve">AMM_100_0.01</t>
  </si>
  <si>
    <t xml:space="preserve">AssetTransfer_5000_0.01</t>
  </si>
  <si>
    <t xml:space="preserve">BasicProvenance_10000_0.01</t>
  </si>
  <si>
    <t xml:space="preserve">Cm_5000_0.01</t>
  </si>
  <si>
    <t xml:space="preserve">DefectiveCounter_10000_0.01</t>
  </si>
  <si>
    <t xml:space="preserve">DefectiveCounter_10000_0.5</t>
  </si>
  <si>
    <t xml:space="preserve">FrequentFlyer_10000_0.01</t>
  </si>
  <si>
    <t xml:space="preserve">FrequentFlyer_10000_0.5</t>
  </si>
  <si>
    <t xml:space="preserve">HelloBlockchain_10000_0.01</t>
  </si>
  <si>
    <t xml:space="preserve">RefrigeratedTransport_10000_0.01</t>
  </si>
  <si>
    <t xml:space="preserve">Simplemarketplace_10000_0.01</t>
  </si>
  <si>
    <t xml:space="preserve">ThermostatOperation_10000_0.5</t>
  </si>
  <si>
    <t xml:space="preserve">Token1_10000_0.01</t>
  </si>
  <si>
    <t xml:space="preserve">WalletContract_10000_0.01</t>
  </si>
  <si>
    <t xml:space="preserve">Operator</t>
  </si>
  <si>
    <t xml:space="preserve">Total</t>
  </si>
  <si>
    <t xml:space="preserve">Equivalent</t>
  </si>
  <si>
    <t xml:space="preserve">Redundant</t>
  </si>
  <si>
    <t xml:space="preserve">Valid</t>
  </si>
  <si>
    <t xml:space="preserve">Killed</t>
  </si>
  <si>
    <t xml:space="preserve">Live</t>
  </si>
  <si>
    <t xml:space="preserve">Timedout</t>
  </si>
  <si>
    <t xml:space="preserve">Stillborn</t>
  </si>
  <si>
    <t xml:space="preserve">Testing Time</t>
  </si>
  <si>
    <t xml:space="preserve">ACM</t>
  </si>
  <si>
    <t xml:space="preserve">AOR</t>
  </si>
  <si>
    <t xml:space="preserve">AVR</t>
  </si>
  <si>
    <t xml:space="preserve">BCRD</t>
  </si>
  <si>
    <t xml:space="preserve">BLR</t>
  </si>
  <si>
    <t xml:space="preserve">BOR</t>
  </si>
  <si>
    <t xml:space="preserve">CBD</t>
  </si>
  <si>
    <t xml:space="preserve">CCD</t>
  </si>
  <si>
    <t xml:space="preserve">CSC</t>
  </si>
  <si>
    <t xml:space="preserve">DLR</t>
  </si>
  <si>
    <t xml:space="preserve">DOD</t>
  </si>
  <si>
    <t xml:space="preserve">ECS</t>
  </si>
  <si>
    <t xml:space="preserve">EED</t>
  </si>
  <si>
    <t xml:space="preserve">EHC</t>
  </si>
  <si>
    <t xml:space="preserve">ER</t>
  </si>
  <si>
    <t xml:space="preserve">ETR</t>
  </si>
  <si>
    <t xml:space="preserve">FVR</t>
  </si>
  <si>
    <t xml:space="preserve">GVR</t>
  </si>
  <si>
    <t xml:space="preserve">HLR</t>
  </si>
  <si>
    <t xml:space="preserve">ILR</t>
  </si>
  <si>
    <t xml:space="preserve">ICM</t>
  </si>
  <si>
    <t xml:space="preserve">LSC</t>
  </si>
  <si>
    <t xml:space="preserve">PKD</t>
  </si>
  <si>
    <t xml:space="preserve">MCR</t>
  </si>
  <si>
    <t xml:space="preserve">MOC</t>
  </si>
  <si>
    <t xml:space="preserve">MOD</t>
  </si>
  <si>
    <t xml:space="preserve">MOI</t>
  </si>
  <si>
    <t xml:space="preserve">MOR</t>
  </si>
  <si>
    <t xml:space="preserve">OLFD</t>
  </si>
  <si>
    <t xml:space="preserve">OMD</t>
  </si>
  <si>
    <t xml:space="preserve">ORFD</t>
  </si>
  <si>
    <t xml:space="preserve">RSD</t>
  </si>
  <si>
    <t xml:space="preserve">RVS</t>
  </si>
  <si>
    <t xml:space="preserve">SCEC</t>
  </si>
  <si>
    <t xml:space="preserve">SFI</t>
  </si>
  <si>
    <t xml:space="preserve">SFD</t>
  </si>
  <si>
    <t xml:space="preserve">SFR</t>
  </si>
  <si>
    <t xml:space="preserve">SKD</t>
  </si>
  <si>
    <t xml:space="preserve">SKI</t>
  </si>
  <si>
    <t xml:space="preserve">SLR</t>
  </si>
  <si>
    <t xml:space="preserve">TOR</t>
  </si>
  <si>
    <t xml:space="preserve">UORD</t>
  </si>
  <si>
    <t xml:space="preserve">VUR</t>
  </si>
  <si>
    <t xml:space="preserve">VVR</t>
  </si>
  <si>
    <t xml:space="preserve">All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</si>
</sst>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2"/>
    </font>
    <font>
      <sz val="11"/>
      <name val="Cambria"/>
      <family val="0"/>
      <charset val="1"/>
    </font>
    <font>
      <sz val="10"/>
      <color rgb="FF000000"/>
      <name val="Calibri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2" activeCellId="0" sqref="E3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.18"/>
    <col collapsed="false" customWidth="true" hidden="false" outlineLevel="0" max="2" min="2" style="0" width="21.88"/>
    <col collapsed="false" customWidth="true" hidden="false" outlineLevel="0" max="3" min="3" style="0" width="22.99"/>
    <col collapsed="false" customWidth="true" hidden="false" outlineLevel="0" max="4" min="4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164.517872435</v>
      </c>
      <c r="C2" s="0" t="n">
        <f aca="false">'AMM_100_0.01_no_pi'!$K$46*60</f>
        <v>9853.337</v>
      </c>
      <c r="D2" s="0" t="n">
        <f aca="false">'AMM_100_0.01_no_pi'!$J$46</f>
        <v>62.70783847981</v>
      </c>
    </row>
    <row r="3" customFormat="false" ht="15" hidden="false" customHeight="false" outlineLevel="0" collapsed="false">
      <c r="A3" s="0" t="s">
        <v>4</v>
      </c>
      <c r="B3" s="0" t="n">
        <v>86.569823</v>
      </c>
      <c r="C3" s="0" t="n">
        <f aca="false">'AMM_100_0.01_no_pi'!$K$46*60</f>
        <v>9853.337</v>
      </c>
      <c r="D3" s="0" t="n">
        <f aca="false">'AMM_100_0.01_no_pi'!$J$46</f>
        <v>62.70783847981</v>
      </c>
    </row>
    <row r="4" customFormat="false" ht="15" hidden="false" customHeight="false" outlineLevel="0" collapsed="false">
      <c r="A4" s="0" t="s">
        <v>5</v>
      </c>
      <c r="B4" s="0" t="n">
        <v>37.260515698</v>
      </c>
      <c r="C4" s="0" t="n">
        <f aca="false">'AssetTransfer_5000_0.01_no_pi'!$K$46*60</f>
        <v>9375.939</v>
      </c>
      <c r="D4" s="0" t="n">
        <f aca="false">'AssetTransfer_5000_0.01_no_pi'!$J$46</f>
        <v>81.4016172506739</v>
      </c>
    </row>
    <row r="5" customFormat="false" ht="15" hidden="false" customHeight="false" outlineLevel="0" collapsed="false">
      <c r="A5" s="0" t="s">
        <v>6</v>
      </c>
      <c r="B5" s="0" t="n">
        <v>337.374478968</v>
      </c>
      <c r="C5" s="0" t="n">
        <f aca="false">'BasicProvenance_10000_0.01_no_p'!$K$46*60</f>
        <v>2384.708</v>
      </c>
      <c r="D5" s="0" t="n">
        <f aca="false">'BasicProvenance_10000_0.01_no_p'!$J$46</f>
        <v>76.7857142857143</v>
      </c>
    </row>
    <row r="6" customFormat="false" ht="15" hidden="false" customHeight="false" outlineLevel="0" collapsed="false">
      <c r="A6" s="0" t="s">
        <v>7</v>
      </c>
      <c r="B6" s="0" t="n">
        <v>576.932350116</v>
      </c>
      <c r="C6" s="0" t="n">
        <f aca="false">'Cm_5000_0.01_no_pi'!$K$46*60</f>
        <v>14768.646</v>
      </c>
      <c r="D6" s="0" t="n">
        <f aca="false">'Cm_5000_0.01_no_pi'!$J$46</f>
        <v>74.6575342465753</v>
      </c>
    </row>
    <row r="7" customFormat="false" ht="15" hidden="false" customHeight="false" outlineLevel="0" collapsed="false">
      <c r="A7" s="0" t="s">
        <v>8</v>
      </c>
      <c r="B7" s="0" t="n">
        <v>39.384300746</v>
      </c>
      <c r="C7" s="0" t="n">
        <f aca="false">'DefectiveCounter_10000_0.01_no_'!$K$46*60</f>
        <v>667.33</v>
      </c>
      <c r="D7" s="0" t="n">
        <f aca="false">'DefectiveCounter_10000_0.01_no_'!$J$46</f>
        <v>65.625</v>
      </c>
    </row>
    <row r="8" customFormat="false" ht="15" hidden="false" customHeight="false" outlineLevel="0" collapsed="false">
      <c r="A8" s="0" t="s">
        <v>9</v>
      </c>
      <c r="B8" s="0" t="n">
        <v>47.820299324</v>
      </c>
      <c r="C8" s="0" t="n">
        <f aca="false">'DefectiveCounter_10000_0.5_no_p'!$K$46*60</f>
        <v>789.426</v>
      </c>
      <c r="D8" s="0" t="n">
        <f aca="false">'DefectiveCounter_10000_0.5_no_p'!$J$46</f>
        <v>65.625</v>
      </c>
    </row>
    <row r="9" customFormat="false" ht="15" hidden="false" customHeight="false" outlineLevel="0" collapsed="false">
      <c r="A9" s="0" t="s">
        <v>10</v>
      </c>
      <c r="B9" s="0" t="n">
        <v>365.8456</v>
      </c>
      <c r="C9" s="0" t="n">
        <f aca="false">'DigitalLocker_2500_0.4_no_pi'!$K$46*60</f>
        <v>11738.899</v>
      </c>
      <c r="D9" s="0" t="n">
        <f aca="false">'DigitalLocker_2500_0.4_no_pi'!$J$46</f>
        <v>77.0053475935829</v>
      </c>
    </row>
    <row r="10" customFormat="false" ht="15" hidden="false" customHeight="false" outlineLevel="0" collapsed="false">
      <c r="A10" s="0" t="s">
        <v>11</v>
      </c>
      <c r="B10" s="0" t="n">
        <v>641.548537551</v>
      </c>
      <c r="C10" s="0" t="n">
        <f aca="false">'FrequentFlyer_10000_0.01_no_pi'!$K$46*60</f>
        <v>9384.645</v>
      </c>
      <c r="D10" s="0" t="n">
        <f aca="false">'FrequentFlyer_10000_0.01_no_pi'!$J$46</f>
        <v>73.2142857142857</v>
      </c>
    </row>
    <row r="11" customFormat="false" ht="15" hidden="false" customHeight="false" outlineLevel="0" collapsed="false">
      <c r="A11" s="0" t="s">
        <v>12</v>
      </c>
      <c r="B11" s="0" t="n">
        <v>319.3806131</v>
      </c>
      <c r="C11" s="0" t="n">
        <f aca="false">'FrequentFlyer_10000_0.5_no_pi'!$K$46*60</f>
        <v>4468.37</v>
      </c>
      <c r="D11" s="0" t="n">
        <f aca="false">'FrequentFlyer_10000_0.5_no_pi'!$J$46</f>
        <v>71.6417910447761</v>
      </c>
    </row>
    <row r="12" customFormat="false" ht="15" hidden="false" customHeight="false" outlineLevel="0" collapsed="false">
      <c r="A12" s="0" t="s">
        <v>13</v>
      </c>
      <c r="B12" s="0" t="n">
        <v>54.198545592</v>
      </c>
      <c r="C12" s="0" t="n">
        <f aca="false">'HelloBlockchain_10000_0.01_no_p'!$K$46*60</f>
        <v>1473.079</v>
      </c>
      <c r="D12" s="0" t="n">
        <f aca="false">'HelloBlockchain_10000_0.01_no_p'!$J$46</f>
        <v>66.6666666666667</v>
      </c>
    </row>
    <row r="13" customFormat="false" ht="15" hidden="false" customHeight="false" outlineLevel="0" collapsed="false">
      <c r="A13" s="0" t="s">
        <v>14</v>
      </c>
      <c r="B13" s="0" t="n">
        <v>119.495187602</v>
      </c>
      <c r="C13" s="0" t="n">
        <f aca="false">'RefrigeratedTransport_10000_0.0'!$K$46*60</f>
        <v>5538.105</v>
      </c>
      <c r="D13" s="0" t="n">
        <f aca="false">'RefrigeratedTransport_10000_0.0'!$J$46</f>
        <v>79.7619047619048</v>
      </c>
    </row>
    <row r="14" customFormat="false" ht="15" hidden="false" customHeight="false" outlineLevel="0" collapsed="false">
      <c r="A14" s="0" t="s">
        <v>15</v>
      </c>
      <c r="B14" s="0" t="n">
        <v>169.655503843</v>
      </c>
      <c r="C14" s="0" t="n">
        <f aca="false">'Simplemarketplace_10000_0.01_no'!$K$46*60</f>
        <v>2032.458</v>
      </c>
      <c r="D14" s="0" t="n">
        <f aca="false">'Simplemarketplace_10000_0.01_no'!$J$46</f>
        <v>78.9473684210526</v>
      </c>
    </row>
    <row r="15" customFormat="false" ht="15" hidden="false" customHeight="false" outlineLevel="0" collapsed="false">
      <c r="A15" s="0" t="s">
        <v>16</v>
      </c>
      <c r="B15" s="0" t="n">
        <v>337.639905075</v>
      </c>
      <c r="C15" s="0" t="n">
        <f aca="false">'ThermostatOperation_10000_0.5_n'!$K$46*60</f>
        <v>3430.247</v>
      </c>
      <c r="D15" s="0" t="n">
        <f aca="false">'ThermostatOperation_10000_0.5_n'!$J$46</f>
        <v>78.2608695652174</v>
      </c>
    </row>
    <row r="16" customFormat="false" ht="15" hidden="false" customHeight="false" outlineLevel="0" collapsed="false">
      <c r="A16" s="0" t="s">
        <v>17</v>
      </c>
      <c r="B16" s="0" t="n">
        <v>740.335796185</v>
      </c>
      <c r="C16" s="0" t="n">
        <f aca="false">'Token1_10000_0.01_no_pi'!$K$46*60</f>
        <v>7568.711</v>
      </c>
      <c r="D16" s="0" t="n">
        <f aca="false">'Token1_10000_0.01_no_pi'!$J$46</f>
        <v>79.2207792207792</v>
      </c>
    </row>
    <row r="17" customFormat="false" ht="15" hidden="false" customHeight="false" outlineLevel="0" collapsed="false">
      <c r="A17" s="0" t="s">
        <v>18</v>
      </c>
      <c r="B17" s="0" t="n">
        <v>165.893001523</v>
      </c>
      <c r="C17" s="0" t="n">
        <f aca="false">'WalletContract_10000_0.01_no_pi'!$K$46*60</f>
        <v>1320.149</v>
      </c>
      <c r="D17" s="0" t="n">
        <f aca="false">'WalletContract_10000_0.01_no_pi'!$J$46</f>
        <v>86.4406779661017</v>
      </c>
    </row>
    <row r="22" customFormat="false" ht="15" hidden="false" customHeight="false" outlineLevel="0" collapsed="false">
      <c r="A22" s="0" t="s">
        <v>0</v>
      </c>
      <c r="B22" s="0" t="s">
        <v>19</v>
      </c>
      <c r="C22" s="0" t="s">
        <v>20</v>
      </c>
    </row>
    <row r="23" customFormat="false" ht="15" hidden="false" customHeight="false" outlineLevel="0" collapsed="false">
      <c r="A23" s="0" t="s">
        <v>21</v>
      </c>
      <c r="C23" s="0" t="n">
        <f aca="false">'AMM_100_0.01_no_pi'!$J$46</f>
        <v>62.70783847981</v>
      </c>
    </row>
    <row r="24" customFormat="false" ht="15" hidden="false" customHeight="false" outlineLevel="0" collapsed="false">
      <c r="A24" s="0" t="s">
        <v>22</v>
      </c>
      <c r="C24" s="0" t="n">
        <f aca="false">'AssetTransfer_5000_0.01_no_pi'!$J$46</f>
        <v>81.4016172506739</v>
      </c>
    </row>
    <row r="25" customFormat="false" ht="15" hidden="false" customHeight="false" outlineLevel="0" collapsed="false">
      <c r="A25" s="0" t="s">
        <v>23</v>
      </c>
      <c r="C25" s="0" t="n">
        <f aca="false">'BasicProvenance_10000_0.01_no_p'!$J$46</f>
        <v>76.7857142857143</v>
      </c>
    </row>
    <row r="26" customFormat="false" ht="15" hidden="false" customHeight="false" outlineLevel="0" collapsed="false">
      <c r="A26" s="0" t="s">
        <v>24</v>
      </c>
      <c r="C26" s="0" t="n">
        <f aca="false">'Cm_5000_0.01_no_pi'!$J$46</f>
        <v>74.6575342465753</v>
      </c>
    </row>
    <row r="27" customFormat="false" ht="15" hidden="false" customHeight="false" outlineLevel="0" collapsed="false">
      <c r="A27" s="0" t="s">
        <v>25</v>
      </c>
      <c r="C27" s="0" t="n">
        <f aca="false">'DefectiveCounter_10000_0.01_no_'!$J$46</f>
        <v>65.625</v>
      </c>
    </row>
    <row r="28" customFormat="false" ht="15" hidden="false" customHeight="false" outlineLevel="0" collapsed="false">
      <c r="A28" s="0" t="s">
        <v>26</v>
      </c>
      <c r="C28" s="0" t="n">
        <f aca="false">'DigitalLocker_2500_0.4_no_pi'!$J$46</f>
        <v>77.0053475935829</v>
      </c>
    </row>
    <row r="29" customFormat="false" ht="15" hidden="false" customHeight="false" outlineLevel="0" collapsed="false">
      <c r="A29" s="2" t="s">
        <v>10</v>
      </c>
      <c r="C29" s="0" t="n">
        <f aca="false">'DefectiveCounter_10000_0.5_no_p'!$J$46</f>
        <v>65.625</v>
      </c>
    </row>
    <row r="30" customFormat="false" ht="15" hidden="false" customHeight="false" outlineLevel="0" collapsed="false">
      <c r="A30" s="0" t="s">
        <v>27</v>
      </c>
      <c r="C30" s="0" t="n">
        <f aca="false">'FrequentFlyer_10000_0.01_no_pi'!$J$46</f>
        <v>73.2142857142857</v>
      </c>
    </row>
    <row r="31" customFormat="false" ht="15" hidden="false" customHeight="false" outlineLevel="0" collapsed="false">
      <c r="A31" s="0" t="s">
        <v>28</v>
      </c>
      <c r="C31" s="0" t="n">
        <f aca="false">'FrequentFlyer_10000_0.5_no_pi'!$J$46</f>
        <v>71.6417910447761</v>
      </c>
    </row>
    <row r="32" customFormat="false" ht="15" hidden="false" customHeight="false" outlineLevel="0" collapsed="false">
      <c r="A32" s="0" t="s">
        <v>29</v>
      </c>
      <c r="C32" s="0" t="n">
        <f aca="false">'HelloBlockchain_10000_0.01_no_p'!$J$46</f>
        <v>66.6666666666667</v>
      </c>
    </row>
    <row r="33" customFormat="false" ht="15" hidden="false" customHeight="false" outlineLevel="0" collapsed="false">
      <c r="A33" s="0" t="s">
        <v>30</v>
      </c>
      <c r="C33" s="0" t="n">
        <f aca="false">'RefrigeratedTransport_10000_0.0'!$J$46</f>
        <v>79.7619047619048</v>
      </c>
    </row>
    <row r="34" customFormat="false" ht="15" hidden="false" customHeight="false" outlineLevel="0" collapsed="false">
      <c r="A34" s="0" t="s">
        <v>31</v>
      </c>
      <c r="C34" s="0" t="n">
        <f aca="false">'Simplemarketplace_10000_0.01_no'!$J$46</f>
        <v>78.9473684210526</v>
      </c>
    </row>
    <row r="35" customFormat="false" ht="15" hidden="false" customHeight="false" outlineLevel="0" collapsed="false">
      <c r="A35" s="0" t="s">
        <v>32</v>
      </c>
      <c r="C35" s="0" t="n">
        <f aca="false">'ThermostatOperation_10000_0.5_n'!$J$46</f>
        <v>78.2608695652174</v>
      </c>
    </row>
    <row r="36" customFormat="false" ht="15" hidden="false" customHeight="false" outlineLevel="0" collapsed="false">
      <c r="A36" s="0" t="s">
        <v>33</v>
      </c>
      <c r="C36" s="0" t="n">
        <f aca="false">'Token1_10000_0.01_no_pi'!$J$46</f>
        <v>79.2207792207792</v>
      </c>
    </row>
    <row r="37" customFormat="false" ht="15" hidden="false" customHeight="false" outlineLevel="0" collapsed="false">
      <c r="A37" s="0" t="s">
        <v>34</v>
      </c>
      <c r="C37" s="0" t="n">
        <f aca="false">'WalletContract_10000_0.01_no_pi'!$J$46</f>
        <v>86.4406779661017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6</v>
      </c>
      <c r="C4" s="0" t="n">
        <v>0</v>
      </c>
      <c r="D4" s="0" t="n">
        <v>0</v>
      </c>
      <c r="E4" s="0" t="n">
        <v>6</v>
      </c>
      <c r="F4" s="0" t="n">
        <v>2</v>
      </c>
      <c r="G4" s="0" t="n">
        <v>4</v>
      </c>
      <c r="H4" s="0" t="n">
        <v>0</v>
      </c>
      <c r="I4" s="0" t="n">
        <v>0</v>
      </c>
      <c r="J4" s="0" t="n">
        <v>33.3333333333333</v>
      </c>
      <c r="K4" s="0" t="n">
        <v>3.1179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12</v>
      </c>
      <c r="C6" s="0" t="n">
        <v>0</v>
      </c>
      <c r="D6" s="0" t="n">
        <v>0</v>
      </c>
      <c r="E6" s="0" t="n">
        <v>12</v>
      </c>
      <c r="F6" s="0" t="n">
        <v>10</v>
      </c>
      <c r="G6" s="0" t="n">
        <v>2</v>
      </c>
      <c r="H6" s="0" t="n">
        <v>0</v>
      </c>
      <c r="I6" s="0" t="n">
        <v>0</v>
      </c>
      <c r="J6" s="0" t="n">
        <v>83.3333333333333</v>
      </c>
      <c r="K6" s="0" t="n">
        <v>3.33595</v>
      </c>
    </row>
    <row r="7" customFormat="false" ht="15" hidden="false" customHeight="false" outlineLevel="0" collapsed="false">
      <c r="A7" s="0" t="s">
        <v>50</v>
      </c>
      <c r="B7" s="0" t="n">
        <v>200</v>
      </c>
      <c r="C7" s="0" t="n">
        <v>0</v>
      </c>
      <c r="D7" s="0" t="n">
        <v>0</v>
      </c>
      <c r="E7" s="0" t="n">
        <v>200</v>
      </c>
      <c r="F7" s="0" t="n">
        <v>135</v>
      </c>
      <c r="G7" s="0" t="n">
        <v>65</v>
      </c>
      <c r="H7" s="0" t="n">
        <v>0</v>
      </c>
      <c r="I7" s="0" t="n">
        <v>0</v>
      </c>
      <c r="J7" s="0" t="n">
        <v>67.5</v>
      </c>
      <c r="K7" s="0" t="n">
        <v>78.5679833333333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3</v>
      </c>
      <c r="C9" s="0" t="n">
        <v>0</v>
      </c>
      <c r="D9" s="0" t="n">
        <v>0</v>
      </c>
      <c r="E9" s="0" t="n">
        <v>3</v>
      </c>
      <c r="F9" s="0" t="n">
        <v>3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0.598366666666667</v>
      </c>
    </row>
    <row r="10" customFormat="false" ht="15" hidden="false" customHeight="false" outlineLevel="0" collapsed="false">
      <c r="A10" s="0" t="s">
        <v>53</v>
      </c>
      <c r="B10" s="0" t="n">
        <v>53</v>
      </c>
      <c r="C10" s="0" t="n">
        <v>0</v>
      </c>
      <c r="D10" s="0" t="n">
        <v>0</v>
      </c>
      <c r="E10" s="0" t="n">
        <v>53</v>
      </c>
      <c r="F10" s="0" t="n">
        <v>34</v>
      </c>
      <c r="G10" s="0" t="n">
        <v>19</v>
      </c>
      <c r="H10" s="0" t="n">
        <v>0</v>
      </c>
      <c r="I10" s="0" t="n">
        <v>0</v>
      </c>
      <c r="J10" s="0" t="n">
        <v>64.1509433962264</v>
      </c>
      <c r="K10" s="0" t="n">
        <v>19.8603666666667</v>
      </c>
    </row>
    <row r="11" customFormat="false" ht="15" hidden="false" customHeight="false" outlineLevel="0" collapsed="false">
      <c r="A11" s="0" t="s">
        <v>54</v>
      </c>
      <c r="B11" s="0" t="n">
        <v>4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4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45</v>
      </c>
      <c r="C15" s="0" t="n">
        <v>0</v>
      </c>
      <c r="D15" s="0" t="n">
        <v>0</v>
      </c>
      <c r="E15" s="0" t="n">
        <v>45</v>
      </c>
      <c r="F15" s="0" t="n">
        <v>18</v>
      </c>
      <c r="G15" s="0" t="n">
        <v>27</v>
      </c>
      <c r="H15" s="0" t="n">
        <v>0</v>
      </c>
      <c r="I15" s="0" t="n">
        <v>0</v>
      </c>
      <c r="J15" s="0" t="n">
        <v>40</v>
      </c>
      <c r="K15" s="0" t="n">
        <v>21.18145</v>
      </c>
    </row>
    <row r="16" customFormat="false" ht="15" hidden="false" customHeight="false" outlineLevel="0" collapsed="false">
      <c r="A16" s="0" t="s">
        <v>59</v>
      </c>
      <c r="B16" s="0" t="n">
        <v>15</v>
      </c>
      <c r="C16" s="0" t="n">
        <v>0</v>
      </c>
      <c r="D16" s="0" t="n">
        <v>0</v>
      </c>
      <c r="E16" s="0" t="n">
        <v>15</v>
      </c>
      <c r="F16" s="0" t="n">
        <v>9</v>
      </c>
      <c r="G16" s="0" t="n">
        <v>6</v>
      </c>
      <c r="H16" s="0" t="n">
        <v>0</v>
      </c>
      <c r="I16" s="0" t="n">
        <v>0</v>
      </c>
      <c r="J16" s="0" t="n">
        <v>60</v>
      </c>
      <c r="K16" s="0" t="n">
        <v>6.46305</v>
      </c>
    </row>
    <row r="17" customFormat="false" ht="15" hidden="false" customHeight="false" outlineLevel="0" collapsed="false">
      <c r="A17" s="0" t="s">
        <v>60</v>
      </c>
      <c r="B17" s="0" t="n">
        <v>8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8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15</v>
      </c>
      <c r="C18" s="0" t="n">
        <v>0</v>
      </c>
      <c r="D18" s="0" t="n">
        <v>0</v>
      </c>
      <c r="E18" s="0" t="n">
        <v>11</v>
      </c>
      <c r="F18" s="0" t="n">
        <v>10</v>
      </c>
      <c r="G18" s="0" t="n">
        <v>1</v>
      </c>
      <c r="H18" s="0" t="n">
        <v>0</v>
      </c>
      <c r="I18" s="0" t="n">
        <v>4</v>
      </c>
      <c r="J18" s="0" t="n">
        <v>90.9090909090909</v>
      </c>
      <c r="K18" s="0" t="n">
        <v>2.6424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35</v>
      </c>
      <c r="C21" s="0" t="n">
        <v>0</v>
      </c>
      <c r="D21" s="0" t="n">
        <v>0</v>
      </c>
      <c r="E21" s="0" t="n">
        <v>35</v>
      </c>
      <c r="F21" s="0" t="n">
        <v>20</v>
      </c>
      <c r="G21" s="0" t="n">
        <v>15</v>
      </c>
      <c r="H21" s="0" t="n">
        <v>0</v>
      </c>
      <c r="I21" s="0" t="n">
        <v>0</v>
      </c>
      <c r="J21" s="0" t="n">
        <v>57.1428571428571</v>
      </c>
      <c r="K21" s="0" t="n">
        <v>15.5700333333333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1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1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1</v>
      </c>
      <c r="C33" s="0" t="n">
        <v>0</v>
      </c>
      <c r="D33" s="0" t="n">
        <v>0</v>
      </c>
      <c r="E33" s="0" t="n">
        <v>1</v>
      </c>
      <c r="F33" s="0" t="n">
        <v>1</v>
      </c>
      <c r="G33" s="0" t="n">
        <v>0</v>
      </c>
      <c r="H33" s="0" t="n">
        <v>0</v>
      </c>
      <c r="I33" s="0" t="n">
        <v>0</v>
      </c>
      <c r="J33" s="0" t="n">
        <v>100</v>
      </c>
      <c r="K33" s="0" t="n">
        <v>0.421866666666667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1</v>
      </c>
      <c r="C43" s="0" t="n">
        <v>0</v>
      </c>
      <c r="D43" s="0" t="n">
        <v>0</v>
      </c>
      <c r="E43" s="0" t="n">
        <v>1</v>
      </c>
      <c r="F43" s="0" t="n">
        <v>1</v>
      </c>
      <c r="G43" s="0" t="n">
        <v>0</v>
      </c>
      <c r="H43" s="0" t="n">
        <v>0</v>
      </c>
      <c r="I43" s="0" t="n">
        <v>0</v>
      </c>
      <c r="J43" s="0" t="n">
        <v>100</v>
      </c>
      <c r="K43" s="0" t="n">
        <v>0.218416666666667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22</v>
      </c>
      <c r="C45" s="0" t="n">
        <v>0</v>
      </c>
      <c r="D45" s="0" t="n">
        <v>0</v>
      </c>
      <c r="E45" s="0" t="n">
        <v>22</v>
      </c>
      <c r="F45" s="0" t="n">
        <v>4</v>
      </c>
      <c r="G45" s="0" t="n">
        <v>18</v>
      </c>
      <c r="H45" s="0" t="n">
        <v>0</v>
      </c>
      <c r="I45" s="0" t="n">
        <v>0</v>
      </c>
      <c r="J45" s="0" t="n">
        <v>18.1818181818182</v>
      </c>
      <c r="K45" s="0" t="n">
        <v>12.2445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421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404</v>
      </c>
      <c r="F46" s="0" t="n">
        <f aca="false">SUM(F2:F45)</f>
        <v>247</v>
      </c>
      <c r="G46" s="0" t="n">
        <f aca="false">SUM(G2:G45)</f>
        <v>157</v>
      </c>
      <c r="H46" s="0" t="n">
        <f aca="false">SUM(H2:H45)</f>
        <v>0</v>
      </c>
      <c r="I46" s="0" t="n">
        <f aca="false">SUM(I2:I45)</f>
        <v>17</v>
      </c>
      <c r="J46" s="0" t="n">
        <f aca="false">(F46+I46)/B46*100</f>
        <v>62.70783847981</v>
      </c>
      <c r="K46" s="0" t="n">
        <f aca="false">SUM(K2:K45)</f>
        <v>164.222283333333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43</v>
      </c>
      <c r="C6" s="0" t="n">
        <v>0</v>
      </c>
      <c r="D6" s="0" t="n">
        <v>0</v>
      </c>
      <c r="E6" s="0" t="n">
        <v>43</v>
      </c>
      <c r="F6" s="0" t="n">
        <v>43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12.5006833333333</v>
      </c>
    </row>
    <row r="7" customFormat="false" ht="15" hidden="false" customHeight="false" outlineLevel="0" collapsed="false">
      <c r="A7" s="0" t="s">
        <v>50</v>
      </c>
      <c r="B7" s="0" t="n">
        <v>94</v>
      </c>
      <c r="C7" s="0" t="n">
        <v>0</v>
      </c>
      <c r="D7" s="0" t="n">
        <v>0</v>
      </c>
      <c r="E7" s="0" t="n">
        <v>94</v>
      </c>
      <c r="F7" s="0" t="n">
        <v>71</v>
      </c>
      <c r="G7" s="0" t="n">
        <v>23</v>
      </c>
      <c r="H7" s="0" t="n">
        <v>0</v>
      </c>
      <c r="I7" s="0" t="n">
        <v>0</v>
      </c>
      <c r="J7" s="0" t="n">
        <v>75.531914893617</v>
      </c>
      <c r="K7" s="0" t="n">
        <v>45.22265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0.20385</v>
      </c>
    </row>
    <row r="10" customFormat="false" ht="15" hidden="false" customHeight="false" outlineLevel="0" collapsed="false">
      <c r="A10" s="0" t="s">
        <v>53</v>
      </c>
      <c r="B10" s="0" t="n">
        <v>75</v>
      </c>
      <c r="C10" s="0" t="n">
        <v>0</v>
      </c>
      <c r="D10" s="0" t="n">
        <v>0</v>
      </c>
      <c r="E10" s="0" t="n">
        <v>75</v>
      </c>
      <c r="F10" s="0" t="n">
        <v>67</v>
      </c>
      <c r="G10" s="0" t="n">
        <v>8</v>
      </c>
      <c r="H10" s="0" t="n">
        <v>0</v>
      </c>
      <c r="I10" s="0" t="n">
        <v>0</v>
      </c>
      <c r="J10" s="0" t="n">
        <v>89.3333333333333</v>
      </c>
      <c r="K10" s="0" t="n">
        <v>25.1699666666667</v>
      </c>
    </row>
    <row r="11" customFormat="false" ht="15" hidden="false" customHeight="false" outlineLevel="0" collapsed="false">
      <c r="A11" s="0" t="s">
        <v>54</v>
      </c>
      <c r="B11" s="0" t="n">
        <v>1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29</v>
      </c>
      <c r="C15" s="0" t="n">
        <v>0</v>
      </c>
      <c r="D15" s="0" t="n">
        <v>0</v>
      </c>
      <c r="E15" s="0" t="n">
        <v>29</v>
      </c>
      <c r="F15" s="0" t="n">
        <v>8</v>
      </c>
      <c r="G15" s="0" t="n">
        <v>21</v>
      </c>
      <c r="H15" s="0" t="n">
        <v>0</v>
      </c>
      <c r="I15" s="0" t="n">
        <v>0</v>
      </c>
      <c r="J15" s="0" t="n">
        <v>27.5862068965517</v>
      </c>
      <c r="K15" s="0" t="n">
        <v>22.9316</v>
      </c>
    </row>
    <row r="16" customFormat="false" ht="15" hidden="false" customHeight="false" outlineLevel="0" collapsed="false">
      <c r="A16" s="0" t="s">
        <v>59</v>
      </c>
      <c r="B16" s="0" t="n">
        <v>65</v>
      </c>
      <c r="C16" s="0" t="n">
        <v>0</v>
      </c>
      <c r="D16" s="0" t="n">
        <v>0</v>
      </c>
      <c r="E16" s="0" t="n">
        <v>65</v>
      </c>
      <c r="F16" s="0" t="n">
        <v>53</v>
      </c>
      <c r="G16" s="0" t="n">
        <v>12</v>
      </c>
      <c r="H16" s="0" t="n">
        <v>0</v>
      </c>
      <c r="I16" s="0" t="n">
        <v>0</v>
      </c>
      <c r="J16" s="0" t="n">
        <v>81.5384615384615</v>
      </c>
      <c r="K16" s="0" t="n">
        <v>27.45345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10</v>
      </c>
      <c r="C18" s="0" t="n">
        <v>0</v>
      </c>
      <c r="D18" s="0" t="n">
        <v>0</v>
      </c>
      <c r="E18" s="0" t="n">
        <v>10</v>
      </c>
      <c r="F18" s="0" t="n">
        <v>10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2.06438333333333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49</v>
      </c>
      <c r="C21" s="0" t="n">
        <v>0</v>
      </c>
      <c r="D21" s="0" t="n">
        <v>0</v>
      </c>
      <c r="E21" s="0" t="n">
        <v>49</v>
      </c>
      <c r="F21" s="0" t="n">
        <v>45</v>
      </c>
      <c r="G21" s="0" t="n">
        <v>4</v>
      </c>
      <c r="H21" s="0" t="n">
        <v>0</v>
      </c>
      <c r="I21" s="0" t="n">
        <v>0</v>
      </c>
      <c r="J21" s="0" t="n">
        <v>91.8367346938776</v>
      </c>
      <c r="K21" s="0" t="n">
        <v>18.9636166666667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4</v>
      </c>
      <c r="C45" s="0" t="n">
        <v>0</v>
      </c>
      <c r="D45" s="0" t="n">
        <v>0</v>
      </c>
      <c r="E45" s="0" t="n">
        <v>4</v>
      </c>
      <c r="F45" s="0" t="n">
        <v>3</v>
      </c>
      <c r="G45" s="0" t="n">
        <v>1</v>
      </c>
      <c r="H45" s="0" t="n">
        <v>0</v>
      </c>
      <c r="I45" s="0" t="n">
        <v>0</v>
      </c>
      <c r="J45" s="0" t="n">
        <v>75</v>
      </c>
      <c r="K45" s="0" t="n">
        <v>1.75545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371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370</v>
      </c>
      <c r="F46" s="0" t="n">
        <f aca="false">SUM(F2:F45)</f>
        <v>301</v>
      </c>
      <c r="G46" s="0" t="n">
        <f aca="false">SUM(G2:G45)</f>
        <v>69</v>
      </c>
      <c r="H46" s="0" t="n">
        <f aca="false">SUM(H2:H45)</f>
        <v>0</v>
      </c>
      <c r="I46" s="0" t="n">
        <f aca="false">SUM(I2:I45)</f>
        <v>1</v>
      </c>
      <c r="J46" s="0" t="n">
        <f aca="false">(F46+I46)/B46*100</f>
        <v>81.4016172506739</v>
      </c>
      <c r="K46" s="0" t="n">
        <f aca="false">SUM(K2:K45)</f>
        <v>156.26565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8</v>
      </c>
      <c r="C6" s="0" t="n">
        <v>0</v>
      </c>
      <c r="D6" s="0" t="n">
        <v>0</v>
      </c>
      <c r="E6" s="0" t="n">
        <v>8</v>
      </c>
      <c r="F6" s="0" t="n">
        <v>8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1.7444</v>
      </c>
    </row>
    <row r="7" customFormat="false" ht="15" hidden="false" customHeight="false" outlineLevel="0" collapsed="false">
      <c r="A7" s="0" t="s">
        <v>50</v>
      </c>
      <c r="B7" s="0" t="n">
        <v>9</v>
      </c>
      <c r="C7" s="0" t="n">
        <v>0</v>
      </c>
      <c r="D7" s="0" t="n">
        <v>0</v>
      </c>
      <c r="E7" s="0" t="n">
        <v>9</v>
      </c>
      <c r="F7" s="0" t="n">
        <v>9</v>
      </c>
      <c r="G7" s="0" t="n">
        <v>0</v>
      </c>
      <c r="H7" s="0" t="n">
        <v>0</v>
      </c>
      <c r="I7" s="0" t="n">
        <v>0</v>
      </c>
      <c r="J7" s="0" t="n">
        <v>100</v>
      </c>
      <c r="K7" s="0" t="n">
        <v>1.99395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0.2102</v>
      </c>
    </row>
    <row r="10" customFormat="false" ht="15" hidden="false" customHeight="false" outlineLevel="0" collapsed="false">
      <c r="A10" s="0" t="s">
        <v>53</v>
      </c>
      <c r="B10" s="0" t="n">
        <v>11</v>
      </c>
      <c r="C10" s="0" t="n">
        <v>0</v>
      </c>
      <c r="D10" s="0" t="n">
        <v>0</v>
      </c>
      <c r="E10" s="0" t="n">
        <v>11</v>
      </c>
      <c r="F10" s="0" t="n">
        <v>9</v>
      </c>
      <c r="G10" s="0" t="n">
        <v>2</v>
      </c>
      <c r="H10" s="0" t="n">
        <v>0</v>
      </c>
      <c r="I10" s="0" t="n">
        <v>0</v>
      </c>
      <c r="J10" s="0" t="n">
        <v>81.8181818181818</v>
      </c>
      <c r="K10" s="0" t="n">
        <v>7.21811666666667</v>
      </c>
    </row>
    <row r="11" customFormat="false" ht="15" hidden="false" customHeight="false" outlineLevel="0" collapsed="false">
      <c r="A11" s="0" t="s">
        <v>54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9</v>
      </c>
      <c r="C15" s="0" t="n">
        <v>0</v>
      </c>
      <c r="D15" s="0" t="n">
        <v>0</v>
      </c>
      <c r="E15" s="0" t="n">
        <v>9</v>
      </c>
      <c r="F15" s="0" t="n">
        <v>3</v>
      </c>
      <c r="G15" s="0" t="n">
        <v>6</v>
      </c>
      <c r="H15" s="0" t="n">
        <v>0</v>
      </c>
      <c r="I15" s="0" t="n">
        <v>0</v>
      </c>
      <c r="J15" s="0" t="n">
        <v>33.3333333333333</v>
      </c>
      <c r="K15" s="0" t="n">
        <v>14.4995333333333</v>
      </c>
    </row>
    <row r="16" customFormat="false" ht="15" hidden="false" customHeight="false" outlineLevel="0" collapsed="false">
      <c r="A16" s="0" t="s">
        <v>59</v>
      </c>
      <c r="B16" s="0" t="n">
        <v>9</v>
      </c>
      <c r="C16" s="0" t="n">
        <v>0</v>
      </c>
      <c r="D16" s="0" t="n">
        <v>0</v>
      </c>
      <c r="E16" s="0" t="n">
        <v>9</v>
      </c>
      <c r="F16" s="0" t="n">
        <v>6</v>
      </c>
      <c r="G16" s="0" t="n">
        <v>3</v>
      </c>
      <c r="H16" s="0" t="n">
        <v>0</v>
      </c>
      <c r="I16" s="0" t="n">
        <v>0</v>
      </c>
      <c r="J16" s="0" t="n">
        <v>66.6666666666667</v>
      </c>
      <c r="K16" s="0" t="n">
        <v>8.14755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2</v>
      </c>
      <c r="C18" s="0" t="n">
        <v>0</v>
      </c>
      <c r="D18" s="0" t="n">
        <v>0</v>
      </c>
      <c r="E18" s="0" t="n">
        <v>2</v>
      </c>
      <c r="F18" s="0" t="n">
        <v>2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0.43055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6</v>
      </c>
      <c r="C21" s="0" t="n">
        <v>0</v>
      </c>
      <c r="D21" s="0" t="n">
        <v>0</v>
      </c>
      <c r="E21" s="0" t="n">
        <v>6</v>
      </c>
      <c r="F21" s="0" t="n">
        <v>5</v>
      </c>
      <c r="G21" s="0" t="n">
        <v>1</v>
      </c>
      <c r="H21" s="0" t="n">
        <v>0</v>
      </c>
      <c r="I21" s="0" t="n">
        <v>0</v>
      </c>
      <c r="J21" s="0" t="n">
        <v>83.3333333333333</v>
      </c>
      <c r="K21" s="0" t="n">
        <v>3.27328333333333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1</v>
      </c>
      <c r="C45" s="0" t="n">
        <v>0</v>
      </c>
      <c r="D45" s="0" t="n">
        <v>0</v>
      </c>
      <c r="E45" s="0" t="n">
        <v>1</v>
      </c>
      <c r="F45" s="0" t="n">
        <v>0</v>
      </c>
      <c r="G45" s="0" t="n">
        <v>1</v>
      </c>
      <c r="H45" s="0" t="n">
        <v>0</v>
      </c>
      <c r="I45" s="0" t="n">
        <v>0</v>
      </c>
      <c r="J45" s="0" t="n">
        <v>0</v>
      </c>
      <c r="K45" s="0" t="n">
        <v>2.22755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56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56</v>
      </c>
      <c r="F46" s="0" t="n">
        <f aca="false">SUM(F2:F45)</f>
        <v>43</v>
      </c>
      <c r="G46" s="0" t="n">
        <f aca="false">SUM(G2:G45)</f>
        <v>13</v>
      </c>
      <c r="H46" s="0" t="n">
        <f aca="false">SUM(H2:H45)</f>
        <v>0</v>
      </c>
      <c r="I46" s="0" t="n">
        <f aca="false">SUM(I2:I45)</f>
        <v>0</v>
      </c>
      <c r="J46" s="0" t="n">
        <f aca="false">(F46+I46)/B46*100</f>
        <v>76.7857142857143</v>
      </c>
      <c r="K46" s="0" t="n">
        <f aca="false">SUM(K2:K45)</f>
        <v>39.7451333333333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1</v>
      </c>
      <c r="C4" s="0" t="n">
        <v>0</v>
      </c>
      <c r="D4" s="0" t="n">
        <v>0</v>
      </c>
      <c r="E4" s="0" t="n">
        <v>1</v>
      </c>
      <c r="F4" s="0" t="n">
        <v>1</v>
      </c>
      <c r="G4" s="0" t="n">
        <v>0</v>
      </c>
      <c r="H4" s="0" t="n">
        <v>0</v>
      </c>
      <c r="I4" s="0" t="n">
        <v>0</v>
      </c>
      <c r="J4" s="0" t="n">
        <v>100</v>
      </c>
      <c r="K4" s="0" t="n">
        <v>0.249916666666667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10</v>
      </c>
      <c r="C6" s="0" t="n">
        <v>0</v>
      </c>
      <c r="D6" s="0" t="n">
        <v>0</v>
      </c>
      <c r="E6" s="0" t="n">
        <v>10</v>
      </c>
      <c r="F6" s="0" t="n">
        <v>9</v>
      </c>
      <c r="G6" s="0" t="n">
        <v>1</v>
      </c>
      <c r="H6" s="0" t="n">
        <v>0</v>
      </c>
      <c r="I6" s="0" t="n">
        <v>0</v>
      </c>
      <c r="J6" s="0" t="n">
        <v>90</v>
      </c>
      <c r="K6" s="0" t="n">
        <v>8.04481666666667</v>
      </c>
    </row>
    <row r="7" customFormat="false" ht="15" hidden="false" customHeight="false" outlineLevel="0" collapsed="false">
      <c r="A7" s="0" t="s">
        <v>50</v>
      </c>
      <c r="B7" s="0" t="n">
        <v>41</v>
      </c>
      <c r="C7" s="0" t="n">
        <v>0</v>
      </c>
      <c r="D7" s="0" t="n">
        <v>0</v>
      </c>
      <c r="E7" s="0" t="n">
        <v>41</v>
      </c>
      <c r="F7" s="0" t="n">
        <v>37</v>
      </c>
      <c r="G7" s="0" t="n">
        <v>4</v>
      </c>
      <c r="H7" s="0" t="n">
        <v>0</v>
      </c>
      <c r="I7" s="0" t="n">
        <v>0</v>
      </c>
      <c r="J7" s="0" t="n">
        <v>90.2439024390244</v>
      </c>
      <c r="K7" s="0" t="n">
        <v>31.9543833333333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2</v>
      </c>
      <c r="C9" s="0" t="n">
        <v>0</v>
      </c>
      <c r="D9" s="0" t="n">
        <v>0</v>
      </c>
      <c r="E9" s="0" t="n">
        <v>2</v>
      </c>
      <c r="F9" s="0" t="n">
        <v>2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0.43305</v>
      </c>
    </row>
    <row r="10" customFormat="false" ht="15" hidden="false" customHeight="false" outlineLevel="0" collapsed="false">
      <c r="A10" s="0" t="s">
        <v>53</v>
      </c>
      <c r="B10" s="0" t="n">
        <v>30</v>
      </c>
      <c r="C10" s="0" t="n">
        <v>0</v>
      </c>
      <c r="D10" s="0" t="n">
        <v>0</v>
      </c>
      <c r="E10" s="0" t="n">
        <v>30</v>
      </c>
      <c r="F10" s="0" t="n">
        <v>22</v>
      </c>
      <c r="G10" s="0" t="n">
        <v>8</v>
      </c>
      <c r="H10" s="0" t="n">
        <v>0</v>
      </c>
      <c r="I10" s="0" t="n">
        <v>0</v>
      </c>
      <c r="J10" s="0" t="n">
        <v>73.3333333333333</v>
      </c>
      <c r="K10" s="0" t="n">
        <v>52.57255</v>
      </c>
    </row>
    <row r="11" customFormat="false" ht="15" hidden="false" customHeight="false" outlineLevel="0" collapsed="false">
      <c r="A11" s="0" t="s">
        <v>54</v>
      </c>
      <c r="B11" s="0" t="n">
        <v>3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3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20</v>
      </c>
      <c r="C15" s="0" t="n">
        <v>0</v>
      </c>
      <c r="D15" s="0" t="n">
        <v>0</v>
      </c>
      <c r="E15" s="0" t="n">
        <v>20</v>
      </c>
      <c r="F15" s="0" t="n">
        <v>8</v>
      </c>
      <c r="G15" s="0" t="n">
        <v>12</v>
      </c>
      <c r="H15" s="0" t="n">
        <v>0</v>
      </c>
      <c r="I15" s="0" t="n">
        <v>0</v>
      </c>
      <c r="J15" s="0" t="n">
        <v>40</v>
      </c>
      <c r="K15" s="0" t="n">
        <v>75.54465</v>
      </c>
    </row>
    <row r="16" customFormat="false" ht="15" hidden="false" customHeight="false" outlineLevel="0" collapsed="false">
      <c r="A16" s="0" t="s">
        <v>59</v>
      </c>
      <c r="B16" s="0" t="n">
        <v>9</v>
      </c>
      <c r="C16" s="0" t="n">
        <v>0</v>
      </c>
      <c r="D16" s="0" t="n">
        <v>0</v>
      </c>
      <c r="E16" s="0" t="n">
        <v>9</v>
      </c>
      <c r="F16" s="0" t="n">
        <v>6</v>
      </c>
      <c r="G16" s="0" t="n">
        <v>3</v>
      </c>
      <c r="H16" s="0" t="n">
        <v>0</v>
      </c>
      <c r="I16" s="0" t="n">
        <v>0</v>
      </c>
      <c r="J16" s="0" t="n">
        <v>66.6666666666667</v>
      </c>
      <c r="K16" s="0" t="n">
        <v>19.6561833333333</v>
      </c>
    </row>
    <row r="17" customFormat="false" ht="15" hidden="false" customHeight="false" outlineLevel="0" collapsed="false">
      <c r="A17" s="0" t="s">
        <v>60</v>
      </c>
      <c r="B17" s="0" t="n">
        <v>2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2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8</v>
      </c>
      <c r="C18" s="0" t="n">
        <v>0</v>
      </c>
      <c r="D18" s="0" t="n">
        <v>0</v>
      </c>
      <c r="E18" s="0" t="n">
        <v>6</v>
      </c>
      <c r="F18" s="0" t="n">
        <v>6</v>
      </c>
      <c r="G18" s="0" t="n">
        <v>0</v>
      </c>
      <c r="H18" s="0" t="n">
        <v>0</v>
      </c>
      <c r="I18" s="0" t="n">
        <v>2</v>
      </c>
      <c r="J18" s="0" t="n">
        <v>100</v>
      </c>
      <c r="K18" s="0" t="n">
        <v>1.32698333333333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7</v>
      </c>
      <c r="C21" s="0" t="n">
        <v>0</v>
      </c>
      <c r="D21" s="0" t="n">
        <v>0</v>
      </c>
      <c r="E21" s="0" t="n">
        <v>7</v>
      </c>
      <c r="F21" s="0" t="n">
        <v>6</v>
      </c>
      <c r="G21" s="0" t="n">
        <v>1</v>
      </c>
      <c r="H21" s="0" t="n">
        <v>0</v>
      </c>
      <c r="I21" s="0" t="n">
        <v>0</v>
      </c>
      <c r="J21" s="0" t="n">
        <v>85.7142857142857</v>
      </c>
      <c r="K21" s="0" t="n">
        <v>7.58758333333333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1</v>
      </c>
      <c r="C43" s="0" t="n">
        <v>0</v>
      </c>
      <c r="D43" s="0" t="n">
        <v>0</v>
      </c>
      <c r="E43" s="0" t="n">
        <v>1</v>
      </c>
      <c r="F43" s="0" t="n">
        <v>1</v>
      </c>
      <c r="G43" s="0" t="n">
        <v>0</v>
      </c>
      <c r="H43" s="0" t="n">
        <v>0</v>
      </c>
      <c r="I43" s="0" t="n">
        <v>0</v>
      </c>
      <c r="J43" s="0" t="n">
        <v>100</v>
      </c>
      <c r="K43" s="0" t="n">
        <v>0.236016666666667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12</v>
      </c>
      <c r="C45" s="0" t="n">
        <v>0</v>
      </c>
      <c r="D45" s="0" t="n">
        <v>0</v>
      </c>
      <c r="E45" s="0" t="n">
        <v>12</v>
      </c>
      <c r="F45" s="0" t="n">
        <v>4</v>
      </c>
      <c r="G45" s="0" t="n">
        <v>8</v>
      </c>
      <c r="H45" s="0" t="n">
        <v>0</v>
      </c>
      <c r="I45" s="0" t="n">
        <v>0</v>
      </c>
      <c r="J45" s="0" t="n">
        <v>33.3333333333333</v>
      </c>
      <c r="K45" s="0" t="n">
        <v>48.5379666666667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146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139</v>
      </c>
      <c r="F46" s="0" t="n">
        <f aca="false">SUM(F2:F45)</f>
        <v>102</v>
      </c>
      <c r="G46" s="0" t="n">
        <f aca="false">SUM(G2:G45)</f>
        <v>37</v>
      </c>
      <c r="H46" s="0" t="n">
        <f aca="false">SUM(H2:H45)</f>
        <v>0</v>
      </c>
      <c r="I46" s="0" t="n">
        <f aca="false">SUM(I2:I45)</f>
        <v>7</v>
      </c>
      <c r="J46" s="0" t="n">
        <f aca="false">(F46+I46)/B46*100</f>
        <v>74.6575342465753</v>
      </c>
      <c r="K46" s="0" t="n">
        <f aca="false">SUM(K2:K45)</f>
        <v>246.1441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4</v>
      </c>
      <c r="C6" s="0" t="n">
        <v>0</v>
      </c>
      <c r="D6" s="0" t="n">
        <v>0</v>
      </c>
      <c r="E6" s="0" t="n">
        <v>4</v>
      </c>
      <c r="F6" s="0" t="n">
        <v>4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0.8299</v>
      </c>
    </row>
    <row r="7" customFormat="false" ht="15" hidden="false" customHeight="false" outlineLevel="0" collapsed="false">
      <c r="A7" s="0" t="s">
        <v>50</v>
      </c>
      <c r="B7" s="0" t="n">
        <v>3</v>
      </c>
      <c r="C7" s="0" t="n">
        <v>0</v>
      </c>
      <c r="D7" s="0" t="n">
        <v>0</v>
      </c>
      <c r="E7" s="0" t="n">
        <v>3</v>
      </c>
      <c r="F7" s="0" t="n">
        <v>3</v>
      </c>
      <c r="G7" s="0" t="n">
        <v>0</v>
      </c>
      <c r="H7" s="0" t="n">
        <v>0</v>
      </c>
      <c r="I7" s="0" t="n">
        <v>0</v>
      </c>
      <c r="J7" s="0" t="n">
        <v>100</v>
      </c>
      <c r="K7" s="0" t="n">
        <v>0.619066666666667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0.20095</v>
      </c>
    </row>
    <row r="10" customFormat="false" ht="15" hidden="false" customHeight="false" outlineLevel="0" collapsed="false">
      <c r="A10" s="0" t="s">
        <v>53</v>
      </c>
      <c r="B10" s="0" t="n">
        <v>6</v>
      </c>
      <c r="C10" s="0" t="n">
        <v>0</v>
      </c>
      <c r="D10" s="0" t="n">
        <v>0</v>
      </c>
      <c r="E10" s="0" t="n">
        <v>6</v>
      </c>
      <c r="F10" s="0" t="n">
        <v>4</v>
      </c>
      <c r="G10" s="0" t="n">
        <v>2</v>
      </c>
      <c r="H10" s="0" t="n">
        <v>0</v>
      </c>
      <c r="I10" s="0" t="n">
        <v>0</v>
      </c>
      <c r="J10" s="0" t="n">
        <v>66.6666666666667</v>
      </c>
      <c r="K10" s="0" t="n">
        <v>2.0602</v>
      </c>
    </row>
    <row r="11" customFormat="false" ht="15" hidden="false" customHeight="false" outlineLevel="0" collapsed="false">
      <c r="A11" s="0" t="s">
        <v>54</v>
      </c>
      <c r="B11" s="0" t="n">
        <v>1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6</v>
      </c>
      <c r="C15" s="0" t="n">
        <v>0</v>
      </c>
      <c r="D15" s="0" t="n">
        <v>0</v>
      </c>
      <c r="E15" s="0" t="n">
        <v>6</v>
      </c>
      <c r="F15" s="0" t="n">
        <v>1</v>
      </c>
      <c r="G15" s="0" t="n">
        <v>5</v>
      </c>
      <c r="H15" s="0" t="n">
        <v>0</v>
      </c>
      <c r="I15" s="0" t="n">
        <v>0</v>
      </c>
      <c r="J15" s="0" t="n">
        <v>16.6666666666667</v>
      </c>
      <c r="K15" s="0" t="n">
        <v>3.41043333333333</v>
      </c>
    </row>
    <row r="16" customFormat="false" ht="15" hidden="false" customHeight="false" outlineLevel="0" collapsed="false">
      <c r="A16" s="0" t="s">
        <v>59</v>
      </c>
      <c r="B16" s="0" t="n">
        <v>4</v>
      </c>
      <c r="C16" s="0" t="n">
        <v>0</v>
      </c>
      <c r="D16" s="0" t="n">
        <v>0</v>
      </c>
      <c r="E16" s="0" t="n">
        <v>4</v>
      </c>
      <c r="F16" s="0" t="n">
        <v>2</v>
      </c>
      <c r="G16" s="0" t="n">
        <v>2</v>
      </c>
      <c r="H16" s="0" t="n">
        <v>0</v>
      </c>
      <c r="I16" s="0" t="n">
        <v>0</v>
      </c>
      <c r="J16" s="0" t="n">
        <v>50</v>
      </c>
      <c r="K16" s="0" t="n">
        <v>1.69828333333333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1</v>
      </c>
      <c r="C18" s="0" t="n">
        <v>0</v>
      </c>
      <c r="D18" s="0" t="n">
        <v>0</v>
      </c>
      <c r="E18" s="0" t="n">
        <v>1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0.204266666666667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3</v>
      </c>
      <c r="C21" s="0" t="n">
        <v>0</v>
      </c>
      <c r="D21" s="0" t="n">
        <v>0</v>
      </c>
      <c r="E21" s="0" t="n">
        <v>3</v>
      </c>
      <c r="F21" s="0" t="n">
        <v>3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0.611166666666667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3</v>
      </c>
      <c r="C45" s="0" t="n">
        <v>0</v>
      </c>
      <c r="D45" s="0" t="n">
        <v>0</v>
      </c>
      <c r="E45" s="0" t="n">
        <v>3</v>
      </c>
      <c r="F45" s="0" t="n">
        <v>1</v>
      </c>
      <c r="G45" s="0" t="n">
        <v>2</v>
      </c>
      <c r="H45" s="0" t="n">
        <v>0</v>
      </c>
      <c r="I45" s="0" t="n">
        <v>0</v>
      </c>
      <c r="J45" s="0" t="n">
        <v>33.3333333333333</v>
      </c>
      <c r="K45" s="0" t="n">
        <v>1.4879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32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31</v>
      </c>
      <c r="F46" s="0" t="n">
        <f aca="false">SUM(F2:F45)</f>
        <v>20</v>
      </c>
      <c r="G46" s="0" t="n">
        <f aca="false">SUM(G2:G45)</f>
        <v>11</v>
      </c>
      <c r="H46" s="0" t="n">
        <f aca="false">SUM(H2:H45)</f>
        <v>0</v>
      </c>
      <c r="I46" s="0" t="n">
        <f aca="false">SUM(I2:I45)</f>
        <v>1</v>
      </c>
      <c r="J46" s="0" t="n">
        <f aca="false">(F46+I46)/B46*100</f>
        <v>65.625</v>
      </c>
      <c r="K46" s="0" t="n">
        <f aca="false">SUM(K2:K45)</f>
        <v>11.1221666666667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4</v>
      </c>
      <c r="C6" s="0" t="n">
        <v>0</v>
      </c>
      <c r="D6" s="0" t="n">
        <v>0</v>
      </c>
      <c r="E6" s="0" t="n">
        <v>4</v>
      </c>
      <c r="F6" s="0" t="n">
        <v>4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0.837516666666667</v>
      </c>
    </row>
    <row r="7" customFormat="false" ht="15" hidden="false" customHeight="false" outlineLevel="0" collapsed="false">
      <c r="A7" s="0" t="s">
        <v>50</v>
      </c>
      <c r="B7" s="0" t="n">
        <v>3</v>
      </c>
      <c r="C7" s="0" t="n">
        <v>0</v>
      </c>
      <c r="D7" s="0" t="n">
        <v>0</v>
      </c>
      <c r="E7" s="0" t="n">
        <v>3</v>
      </c>
      <c r="F7" s="0" t="n">
        <v>3</v>
      </c>
      <c r="G7" s="0" t="n">
        <v>0</v>
      </c>
      <c r="H7" s="0" t="n">
        <v>0</v>
      </c>
      <c r="I7" s="0" t="n">
        <v>0</v>
      </c>
      <c r="J7" s="0" t="n">
        <v>100</v>
      </c>
      <c r="K7" s="0" t="n">
        <v>0.628483333333333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0.210316666666667</v>
      </c>
    </row>
    <row r="10" customFormat="false" ht="15" hidden="false" customHeight="false" outlineLevel="0" collapsed="false">
      <c r="A10" s="0" t="s">
        <v>53</v>
      </c>
      <c r="B10" s="0" t="n">
        <v>6</v>
      </c>
      <c r="C10" s="0" t="n">
        <v>0</v>
      </c>
      <c r="D10" s="0" t="n">
        <v>0</v>
      </c>
      <c r="E10" s="0" t="n">
        <v>6</v>
      </c>
      <c r="F10" s="0" t="n">
        <v>4</v>
      </c>
      <c r="G10" s="0" t="n">
        <v>2</v>
      </c>
      <c r="H10" s="0" t="n">
        <v>0</v>
      </c>
      <c r="I10" s="0" t="n">
        <v>0</v>
      </c>
      <c r="J10" s="0" t="n">
        <v>66.6666666666667</v>
      </c>
      <c r="K10" s="0" t="n">
        <v>2.4984</v>
      </c>
    </row>
    <row r="11" customFormat="false" ht="15" hidden="false" customHeight="false" outlineLevel="0" collapsed="false">
      <c r="A11" s="0" t="s">
        <v>54</v>
      </c>
      <c r="B11" s="0" t="n">
        <v>1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6</v>
      </c>
      <c r="C15" s="0" t="n">
        <v>0</v>
      </c>
      <c r="D15" s="0" t="n">
        <v>0</v>
      </c>
      <c r="E15" s="0" t="n">
        <v>6</v>
      </c>
      <c r="F15" s="0" t="n">
        <v>1</v>
      </c>
      <c r="G15" s="0" t="n">
        <v>5</v>
      </c>
      <c r="H15" s="0" t="n">
        <v>0</v>
      </c>
      <c r="I15" s="0" t="n">
        <v>0</v>
      </c>
      <c r="J15" s="0" t="n">
        <v>16.6666666666667</v>
      </c>
      <c r="K15" s="0" t="n">
        <v>4.34705</v>
      </c>
    </row>
    <row r="16" customFormat="false" ht="15" hidden="false" customHeight="false" outlineLevel="0" collapsed="false">
      <c r="A16" s="0" t="s">
        <v>59</v>
      </c>
      <c r="B16" s="0" t="n">
        <v>4</v>
      </c>
      <c r="C16" s="0" t="n">
        <v>0</v>
      </c>
      <c r="D16" s="0" t="n">
        <v>0</v>
      </c>
      <c r="E16" s="0" t="n">
        <v>4</v>
      </c>
      <c r="F16" s="0" t="n">
        <v>2</v>
      </c>
      <c r="G16" s="0" t="n">
        <v>2</v>
      </c>
      <c r="H16" s="0" t="n">
        <v>0</v>
      </c>
      <c r="I16" s="0" t="n">
        <v>0</v>
      </c>
      <c r="J16" s="0" t="n">
        <v>50</v>
      </c>
      <c r="K16" s="0" t="n">
        <v>2.05038333333333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1</v>
      </c>
      <c r="C18" s="0" t="n">
        <v>0</v>
      </c>
      <c r="D18" s="0" t="n">
        <v>0</v>
      </c>
      <c r="E18" s="0" t="n">
        <v>1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0.203116666666667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3</v>
      </c>
      <c r="C21" s="0" t="n">
        <v>0</v>
      </c>
      <c r="D21" s="0" t="n">
        <v>0</v>
      </c>
      <c r="E21" s="0" t="n">
        <v>3</v>
      </c>
      <c r="F21" s="0" t="n">
        <v>3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0.61145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3</v>
      </c>
      <c r="C45" s="0" t="n">
        <v>0</v>
      </c>
      <c r="D45" s="0" t="n">
        <v>0</v>
      </c>
      <c r="E45" s="0" t="n">
        <v>3</v>
      </c>
      <c r="F45" s="0" t="n">
        <v>1</v>
      </c>
      <c r="G45" s="0" t="n">
        <v>2</v>
      </c>
      <c r="H45" s="0" t="n">
        <v>0</v>
      </c>
      <c r="I45" s="0" t="n">
        <v>0</v>
      </c>
      <c r="J45" s="0" t="n">
        <v>33.3333333333333</v>
      </c>
      <c r="K45" s="0" t="n">
        <v>1.77038333333333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32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31</v>
      </c>
      <c r="F46" s="0" t="n">
        <f aca="false">SUM(F2:F45)</f>
        <v>20</v>
      </c>
      <c r="G46" s="0" t="n">
        <f aca="false">SUM(G2:G45)</f>
        <v>11</v>
      </c>
      <c r="H46" s="0" t="n">
        <f aca="false">SUM(H2:H45)</f>
        <v>0</v>
      </c>
      <c r="I46" s="0" t="n">
        <f aca="false">SUM(I2:I45)</f>
        <v>1</v>
      </c>
      <c r="J46" s="0" t="n">
        <f aca="false">(F46+I46)/B46*100</f>
        <v>65.625</v>
      </c>
      <c r="K46" s="0" t="n">
        <f aca="false">SUM(K2:K45)</f>
        <v>13.1571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K46" activeCellId="0" sqref="K46"/>
    </sheetView>
  </sheetViews>
  <sheetFormatPr defaultColWidth="11.53515625" defaultRowHeight="13.8" zeroHeight="false" outlineLevelRow="0" outlineLevelCol="0"/>
  <cols>
    <col collapsed="false" customWidth="true" hidden="false" outlineLevel="0" max="9" min="1" style="0" width="8.68"/>
    <col collapsed="false" customWidth="true" hidden="false" outlineLevel="0" max="10" min="10" style="0" width="18.82"/>
    <col collapsed="false" customWidth="true" hidden="false" outlineLevel="0" max="11" min="11" style="0" width="17.57"/>
  </cols>
  <sheetData>
    <row r="1" customFormat="false" ht="13.8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4.9" hidden="false" customHeight="false" outlineLevel="0" collapsed="false">
      <c r="A2" s="3" t="s">
        <v>45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K2" s="4" t="n">
        <v>0</v>
      </c>
    </row>
    <row r="3" customFormat="false" ht="14.9" hidden="false" customHeight="false" outlineLevel="0" collapsed="false">
      <c r="A3" s="3" t="s">
        <v>46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K3" s="4" t="n">
        <v>0</v>
      </c>
    </row>
    <row r="4" customFormat="false" ht="14.9" hidden="false" customHeight="false" outlineLevel="0" collapsed="false">
      <c r="A4" s="3" t="s">
        <v>47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K4" s="4" t="n">
        <v>0</v>
      </c>
    </row>
    <row r="5" customFormat="false" ht="14.9" hidden="false" customHeight="false" outlineLevel="0" collapsed="false">
      <c r="A5" s="3" t="s">
        <v>48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K5" s="4" t="n">
        <v>0</v>
      </c>
    </row>
    <row r="6" customFormat="false" ht="14.9" hidden="false" customHeight="false" outlineLevel="0" collapsed="false">
      <c r="A6" s="3" t="s">
        <v>49</v>
      </c>
      <c r="B6" s="4" t="n">
        <v>21</v>
      </c>
      <c r="C6" s="4" t="n">
        <v>0</v>
      </c>
      <c r="D6" s="4" t="n">
        <v>0</v>
      </c>
      <c r="E6" s="4" t="n">
        <v>21</v>
      </c>
      <c r="F6" s="4" t="n">
        <v>18</v>
      </c>
      <c r="G6" s="4" t="n">
        <v>3</v>
      </c>
      <c r="H6" s="4" t="n">
        <v>0</v>
      </c>
      <c r="I6" s="4" t="n">
        <v>0</v>
      </c>
      <c r="J6" s="4" t="n">
        <v>85.7142857142857</v>
      </c>
      <c r="K6" s="4" t="n">
        <v>17.1775333333333</v>
      </c>
    </row>
    <row r="7" customFormat="false" ht="14.9" hidden="false" customHeight="false" outlineLevel="0" collapsed="false">
      <c r="A7" s="3" t="s">
        <v>50</v>
      </c>
      <c r="B7" s="4" t="n">
        <v>33</v>
      </c>
      <c r="C7" s="4" t="n">
        <v>0</v>
      </c>
      <c r="D7" s="4" t="n">
        <v>0</v>
      </c>
      <c r="E7" s="4" t="n">
        <v>33</v>
      </c>
      <c r="F7" s="4" t="n">
        <v>30</v>
      </c>
      <c r="G7" s="4" t="n">
        <v>3</v>
      </c>
      <c r="H7" s="4" t="n">
        <v>0</v>
      </c>
      <c r="I7" s="4" t="n">
        <v>0</v>
      </c>
      <c r="J7" s="4" t="n">
        <v>90.9090909090909</v>
      </c>
      <c r="K7" s="4" t="n">
        <v>22.5673666666667</v>
      </c>
    </row>
    <row r="8" customFormat="false" ht="14.9" hidden="false" customHeight="false" outlineLevel="0" collapsed="false">
      <c r="A8" s="3" t="s">
        <v>51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K8" s="4" t="n">
        <v>0</v>
      </c>
    </row>
    <row r="9" customFormat="false" ht="14.9" hidden="false" customHeight="false" outlineLevel="0" collapsed="false">
      <c r="A9" s="3" t="s">
        <v>52</v>
      </c>
      <c r="B9" s="4" t="n">
        <v>1</v>
      </c>
      <c r="C9" s="4" t="n">
        <v>0</v>
      </c>
      <c r="D9" s="4" t="n">
        <v>0</v>
      </c>
      <c r="E9" s="4" t="n">
        <v>1</v>
      </c>
      <c r="F9" s="4" t="n">
        <v>1</v>
      </c>
      <c r="G9" s="4" t="n">
        <v>0</v>
      </c>
      <c r="H9" s="4" t="n">
        <v>0</v>
      </c>
      <c r="I9" s="4" t="n">
        <v>0</v>
      </c>
      <c r="J9" s="4" t="n">
        <v>100</v>
      </c>
      <c r="K9" s="4" t="n">
        <v>0.430833333333333</v>
      </c>
    </row>
    <row r="10" customFormat="false" ht="14.9" hidden="false" customHeight="false" outlineLevel="0" collapsed="false">
      <c r="A10" s="3" t="s">
        <v>53</v>
      </c>
      <c r="B10" s="4" t="n">
        <v>36</v>
      </c>
      <c r="C10" s="4" t="n">
        <v>0</v>
      </c>
      <c r="D10" s="4" t="n">
        <v>0</v>
      </c>
      <c r="E10" s="4" t="n">
        <v>36</v>
      </c>
      <c r="F10" s="4" t="n">
        <v>29</v>
      </c>
      <c r="G10" s="4" t="n">
        <v>7</v>
      </c>
      <c r="H10" s="4" t="n">
        <v>0</v>
      </c>
      <c r="I10" s="4" t="n">
        <v>0</v>
      </c>
      <c r="J10" s="4" t="n">
        <v>80.5555555555556</v>
      </c>
      <c r="K10" s="4" t="n">
        <v>34.6832833333333</v>
      </c>
    </row>
    <row r="11" customFormat="false" ht="14.9" hidden="false" customHeight="false" outlineLevel="0" collapsed="false">
      <c r="A11" s="3" t="s">
        <v>54</v>
      </c>
      <c r="B11" s="4" t="n">
        <v>6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6</v>
      </c>
      <c r="K11" s="4" t="n">
        <v>0</v>
      </c>
    </row>
    <row r="12" customFormat="false" ht="14.9" hidden="false" customHeight="false" outlineLevel="0" collapsed="false">
      <c r="A12" s="3" t="s">
        <v>55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K12" s="4" t="n">
        <v>0</v>
      </c>
    </row>
    <row r="13" customFormat="false" ht="14.9" hidden="false" customHeight="false" outlineLevel="0" collapsed="false">
      <c r="A13" s="3" t="s">
        <v>56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K13" s="4" t="n">
        <v>0</v>
      </c>
    </row>
    <row r="14" customFormat="false" ht="14.9" hidden="false" customHeight="false" outlineLevel="0" collapsed="false">
      <c r="A14" s="3" t="s">
        <v>57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K14" s="4" t="n">
        <v>0</v>
      </c>
    </row>
    <row r="15" customFormat="false" ht="14.9" hidden="false" customHeight="false" outlineLevel="0" collapsed="false">
      <c r="A15" s="3" t="s">
        <v>58</v>
      </c>
      <c r="B15" s="4" t="n">
        <v>22</v>
      </c>
      <c r="C15" s="4" t="n">
        <v>0</v>
      </c>
      <c r="D15" s="4" t="n">
        <v>0</v>
      </c>
      <c r="E15" s="4" t="n">
        <v>22</v>
      </c>
      <c r="F15" s="4" t="n">
        <v>8</v>
      </c>
      <c r="G15" s="4" t="n">
        <v>14</v>
      </c>
      <c r="H15" s="4" t="n">
        <v>0</v>
      </c>
      <c r="I15" s="4" t="n">
        <v>0</v>
      </c>
      <c r="J15" s="4" t="n">
        <v>36.3636363636364</v>
      </c>
      <c r="K15" s="4" t="n">
        <v>48.5689166666667</v>
      </c>
    </row>
    <row r="16" customFormat="false" ht="14.9" hidden="false" customHeight="false" outlineLevel="0" collapsed="false">
      <c r="A16" s="3" t="s">
        <v>59</v>
      </c>
      <c r="B16" s="4" t="n">
        <v>23</v>
      </c>
      <c r="C16" s="4" t="n">
        <v>0</v>
      </c>
      <c r="D16" s="4" t="n">
        <v>0</v>
      </c>
      <c r="E16" s="4" t="n">
        <v>23</v>
      </c>
      <c r="F16" s="4" t="n">
        <v>17</v>
      </c>
      <c r="G16" s="4" t="n">
        <v>6</v>
      </c>
      <c r="H16" s="4" t="n">
        <v>0</v>
      </c>
      <c r="I16" s="4" t="n">
        <v>0</v>
      </c>
      <c r="J16" s="4" t="n">
        <v>73.9130434782609</v>
      </c>
      <c r="K16" s="4" t="n">
        <v>26.2954333333333</v>
      </c>
    </row>
    <row r="17" customFormat="false" ht="14.9" hidden="false" customHeight="false" outlineLevel="0" collapsed="false">
      <c r="A17" s="3" t="s">
        <v>60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K17" s="4" t="n">
        <v>0</v>
      </c>
    </row>
    <row r="18" customFormat="false" ht="14.9" hidden="false" customHeight="false" outlineLevel="0" collapsed="false">
      <c r="A18" s="3" t="s">
        <v>61</v>
      </c>
      <c r="B18" s="4" t="n">
        <v>11</v>
      </c>
      <c r="C18" s="4" t="n">
        <v>0</v>
      </c>
      <c r="D18" s="4" t="n">
        <v>0</v>
      </c>
      <c r="E18" s="4" t="n">
        <v>11</v>
      </c>
      <c r="F18" s="4" t="n">
        <v>9</v>
      </c>
      <c r="G18" s="4" t="n">
        <v>2</v>
      </c>
      <c r="H18" s="4" t="n">
        <v>0</v>
      </c>
      <c r="I18" s="4" t="n">
        <v>0</v>
      </c>
      <c r="J18" s="4" t="n">
        <v>81.8181818181818</v>
      </c>
      <c r="K18" s="4" t="n">
        <v>10.0363166666667</v>
      </c>
    </row>
    <row r="19" customFormat="false" ht="14.9" hidden="false" customHeight="false" outlineLevel="0" collapsed="false">
      <c r="A19" s="3" t="s">
        <v>62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K19" s="4" t="n">
        <v>0</v>
      </c>
    </row>
    <row r="20" customFormat="false" ht="14.9" hidden="false" customHeight="false" outlineLevel="0" collapsed="false">
      <c r="A20" s="3" t="s">
        <v>63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K20" s="4" t="n">
        <v>0</v>
      </c>
    </row>
    <row r="21" customFormat="false" ht="14.9" hidden="false" customHeight="false" outlineLevel="0" collapsed="false">
      <c r="A21" s="3" t="s">
        <v>64</v>
      </c>
      <c r="B21" s="4" t="n">
        <v>19</v>
      </c>
      <c r="C21" s="4" t="n">
        <v>0</v>
      </c>
      <c r="D21" s="4" t="n">
        <v>0</v>
      </c>
      <c r="E21" s="4" t="n">
        <v>19</v>
      </c>
      <c r="F21" s="4" t="n">
        <v>16</v>
      </c>
      <c r="G21" s="4" t="n">
        <v>3</v>
      </c>
      <c r="H21" s="4" t="n">
        <v>0</v>
      </c>
      <c r="I21" s="4" t="n">
        <v>0</v>
      </c>
      <c r="J21" s="4" t="n">
        <v>84.2105263157895</v>
      </c>
      <c r="K21" s="4" t="n">
        <v>16.2527166666667</v>
      </c>
    </row>
    <row r="22" customFormat="false" ht="14.9" hidden="false" customHeight="false" outlineLevel="0" collapsed="false">
      <c r="A22" s="3" t="s">
        <v>65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K22" s="4" t="n">
        <v>0</v>
      </c>
    </row>
    <row r="23" customFormat="false" ht="14.9" hidden="false" customHeight="false" outlineLevel="0" collapsed="false">
      <c r="A23" s="3" t="s">
        <v>66</v>
      </c>
      <c r="B23" s="4" t="n">
        <v>4</v>
      </c>
      <c r="C23" s="4" t="n">
        <v>0</v>
      </c>
      <c r="D23" s="4" t="n">
        <v>0</v>
      </c>
      <c r="E23" s="4" t="n">
        <v>4</v>
      </c>
      <c r="F23" s="4" t="n">
        <v>3</v>
      </c>
      <c r="G23" s="4" t="n">
        <v>1</v>
      </c>
      <c r="H23" s="4" t="n">
        <v>0</v>
      </c>
      <c r="I23" s="4" t="n">
        <v>0</v>
      </c>
      <c r="J23" s="4" t="n">
        <v>75</v>
      </c>
      <c r="K23" s="4" t="n">
        <v>4.3523</v>
      </c>
    </row>
    <row r="24" customFormat="false" ht="14.9" hidden="false" customHeight="false" outlineLevel="0" collapsed="false">
      <c r="A24" s="3" t="s">
        <v>67</v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K24" s="4" t="n">
        <v>0</v>
      </c>
    </row>
    <row r="25" customFormat="false" ht="14.9" hidden="false" customHeight="false" outlineLevel="0" collapsed="false">
      <c r="A25" s="3" t="s">
        <v>68</v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K25" s="4" t="n">
        <v>0</v>
      </c>
    </row>
    <row r="26" customFormat="false" ht="14.9" hidden="false" customHeight="false" outlineLevel="0" collapsed="false">
      <c r="A26" s="3" t="s">
        <v>69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K26" s="4" t="n">
        <v>0</v>
      </c>
    </row>
    <row r="27" customFormat="false" ht="14.9" hidden="false" customHeight="false" outlineLevel="0" collapsed="false">
      <c r="A27" s="3" t="s">
        <v>70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K27" s="4" t="n">
        <v>0</v>
      </c>
    </row>
    <row r="28" customFormat="false" ht="14.9" hidden="false" customHeight="false" outlineLevel="0" collapsed="false">
      <c r="A28" s="3" t="s">
        <v>71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K28" s="4" t="n">
        <v>0</v>
      </c>
    </row>
    <row r="29" customFormat="false" ht="14.9" hidden="false" customHeight="false" outlineLevel="0" collapsed="false">
      <c r="A29" s="3" t="s">
        <v>72</v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K29" s="4" t="n">
        <v>0</v>
      </c>
    </row>
    <row r="30" customFormat="false" ht="14.9" hidden="false" customHeight="false" outlineLevel="0" collapsed="false">
      <c r="A30" s="3" t="s">
        <v>73</v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K30" s="4" t="n">
        <v>0</v>
      </c>
    </row>
    <row r="31" customFormat="false" ht="14.9" hidden="false" customHeight="false" outlineLevel="0" collapsed="false">
      <c r="A31" s="3" t="s">
        <v>74</v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K31" s="4" t="n">
        <v>0</v>
      </c>
    </row>
    <row r="32" customFormat="false" ht="14.9" hidden="false" customHeight="false" outlineLevel="0" collapsed="false">
      <c r="A32" s="3" t="s">
        <v>75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K32" s="4" t="n">
        <v>0</v>
      </c>
    </row>
    <row r="33" customFormat="false" ht="14.9" hidden="false" customHeight="false" outlineLevel="0" collapsed="false">
      <c r="A33" s="3" t="s">
        <v>76</v>
      </c>
      <c r="B33" s="4" t="n">
        <v>3</v>
      </c>
      <c r="C33" s="4" t="n">
        <v>0</v>
      </c>
      <c r="D33" s="4" t="n">
        <v>0</v>
      </c>
      <c r="E33" s="4" t="n">
        <v>3</v>
      </c>
      <c r="F33" s="4" t="n">
        <v>2</v>
      </c>
      <c r="G33" s="4" t="n">
        <v>1</v>
      </c>
      <c r="H33" s="4" t="n">
        <v>0</v>
      </c>
      <c r="I33" s="4" t="n">
        <v>0</v>
      </c>
      <c r="J33" s="4" t="n">
        <v>66.6666666666667</v>
      </c>
      <c r="K33" s="4" t="n">
        <v>3.97971666666667</v>
      </c>
    </row>
    <row r="34" customFormat="false" ht="14.9" hidden="false" customHeight="false" outlineLevel="0" collapsed="false">
      <c r="A34" s="3" t="s">
        <v>77</v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K34" s="4" t="n">
        <v>0</v>
      </c>
    </row>
    <row r="35" customFormat="false" ht="14.9" hidden="false" customHeight="false" outlineLevel="0" collapsed="false">
      <c r="A35" s="3" t="s">
        <v>78</v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K35" s="4" t="n">
        <v>0</v>
      </c>
    </row>
    <row r="36" customFormat="false" ht="14.9" hidden="false" customHeight="false" outlineLevel="0" collapsed="false">
      <c r="A36" s="3" t="s">
        <v>79</v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K36" s="4" t="n">
        <v>0</v>
      </c>
    </row>
    <row r="37" customFormat="false" ht="14.9" hidden="false" customHeight="false" outlineLevel="0" collapsed="false">
      <c r="A37" s="3" t="s">
        <v>80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K37" s="4" t="n">
        <v>0</v>
      </c>
    </row>
    <row r="38" customFormat="false" ht="14.9" hidden="false" customHeight="false" outlineLevel="0" collapsed="false">
      <c r="A38" s="3" t="s">
        <v>81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K38" s="4" t="n">
        <v>0</v>
      </c>
    </row>
    <row r="39" customFormat="false" ht="14.9" hidden="false" customHeight="false" outlineLevel="0" collapsed="false">
      <c r="A39" s="3" t="s">
        <v>82</v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K39" s="4" t="n">
        <v>0</v>
      </c>
    </row>
    <row r="40" customFormat="false" ht="14.9" hidden="false" customHeight="false" outlineLevel="0" collapsed="false">
      <c r="A40" s="3" t="s">
        <v>83</v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K40" s="4" t="n">
        <v>0</v>
      </c>
    </row>
    <row r="41" customFormat="false" ht="14.9" hidden="false" customHeight="false" outlineLevel="0" collapsed="false">
      <c r="A41" s="3" t="s">
        <v>84</v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K41" s="4" t="n">
        <v>0</v>
      </c>
    </row>
    <row r="42" customFormat="false" ht="14.9" hidden="false" customHeight="false" outlineLevel="0" collapsed="false">
      <c r="A42" s="3" t="s">
        <v>85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K42" s="4" t="n">
        <v>0</v>
      </c>
    </row>
    <row r="43" customFormat="false" ht="14.9" hidden="false" customHeight="false" outlineLevel="0" collapsed="false">
      <c r="A43" s="3" t="s">
        <v>86</v>
      </c>
      <c r="B43" s="4" t="n">
        <v>5</v>
      </c>
      <c r="C43" s="4" t="n">
        <v>0</v>
      </c>
      <c r="D43" s="4" t="n">
        <v>0</v>
      </c>
      <c r="E43" s="4" t="n">
        <v>5</v>
      </c>
      <c r="F43" s="4" t="n">
        <v>3</v>
      </c>
      <c r="G43" s="4" t="n">
        <v>2</v>
      </c>
      <c r="H43" s="4" t="n">
        <v>0</v>
      </c>
      <c r="I43" s="4" t="n">
        <v>0</v>
      </c>
      <c r="J43" s="4" t="n">
        <v>60</v>
      </c>
      <c r="K43" s="4" t="n">
        <v>7.3976</v>
      </c>
    </row>
    <row r="44" customFormat="false" ht="14.9" hidden="false" customHeight="false" outlineLevel="0" collapsed="false">
      <c r="A44" s="3" t="s">
        <v>87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K44" s="4" t="n">
        <v>0</v>
      </c>
    </row>
    <row r="45" customFormat="false" ht="14.9" hidden="false" customHeight="false" outlineLevel="0" collapsed="false">
      <c r="A45" s="3" t="s">
        <v>88</v>
      </c>
      <c r="B45" s="4" t="n">
        <v>3</v>
      </c>
      <c r="C45" s="4" t="n">
        <v>0</v>
      </c>
      <c r="D45" s="4" t="n">
        <v>0</v>
      </c>
      <c r="E45" s="4" t="n">
        <v>3</v>
      </c>
      <c r="F45" s="4" t="n">
        <v>2</v>
      </c>
      <c r="G45" s="4" t="n">
        <v>1</v>
      </c>
      <c r="H45" s="4" t="n">
        <v>0</v>
      </c>
      <c r="I45" s="4" t="n">
        <v>0</v>
      </c>
      <c r="J45" s="4" t="n">
        <v>66.6666666666667</v>
      </c>
      <c r="K45" s="4" t="n">
        <v>3.9063</v>
      </c>
    </row>
    <row r="46" customFormat="false" ht="13.8" hidden="false" customHeight="false" outlineLevel="0" collapsed="false">
      <c r="A46" s="0" t="s">
        <v>89</v>
      </c>
      <c r="B46" s="0" t="n">
        <f aca="false">SUM(B2:B45)</f>
        <v>187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181</v>
      </c>
      <c r="F46" s="0" t="n">
        <f aca="false">SUM(F2:F45)</f>
        <v>138</v>
      </c>
      <c r="G46" s="0" t="n">
        <f aca="false">SUM(G2:G45)</f>
        <v>43</v>
      </c>
      <c r="H46" s="0" t="n">
        <f aca="false">SUM(H2:H45)</f>
        <v>0</v>
      </c>
      <c r="I46" s="0" t="n">
        <f aca="false">SUM(I2:I45)</f>
        <v>6</v>
      </c>
      <c r="J46" s="0" t="n">
        <f aca="false">(F46+I46)/B46*100</f>
        <v>77.0053475935829</v>
      </c>
      <c r="K46" s="0" t="n">
        <f aca="false">SUM(K2:K45)</f>
        <v>195.648316666667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6</v>
      </c>
      <c r="C3" s="0" t="n">
        <v>0</v>
      </c>
      <c r="D3" s="0" t="n">
        <v>0</v>
      </c>
      <c r="E3" s="0" t="n">
        <v>6</v>
      </c>
      <c r="F3" s="0" t="n">
        <v>6</v>
      </c>
      <c r="G3" s="0" t="n">
        <v>0</v>
      </c>
      <c r="H3" s="0" t="n">
        <v>0</v>
      </c>
      <c r="I3" s="0" t="n">
        <v>0</v>
      </c>
      <c r="J3" s="0" t="n">
        <v>100</v>
      </c>
      <c r="K3" s="0" t="n">
        <v>1.35521666666667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8</v>
      </c>
      <c r="C6" s="0" t="n">
        <v>0</v>
      </c>
      <c r="D6" s="0" t="n">
        <v>0</v>
      </c>
      <c r="E6" s="0" t="n">
        <v>8</v>
      </c>
      <c r="F6" s="0" t="n">
        <v>7</v>
      </c>
      <c r="G6" s="0" t="n">
        <v>1</v>
      </c>
      <c r="H6" s="0" t="n">
        <v>0</v>
      </c>
      <c r="I6" s="0" t="n">
        <v>0</v>
      </c>
      <c r="J6" s="0" t="n">
        <v>87.5</v>
      </c>
      <c r="K6" s="0" t="n">
        <v>6.9317</v>
      </c>
    </row>
    <row r="7" customFormat="false" ht="15" hidden="false" customHeight="false" outlineLevel="0" collapsed="false">
      <c r="A7" s="0" t="s">
        <v>50</v>
      </c>
      <c r="B7" s="0" t="n">
        <v>23</v>
      </c>
      <c r="C7" s="0" t="n">
        <v>0</v>
      </c>
      <c r="D7" s="0" t="n">
        <v>0</v>
      </c>
      <c r="E7" s="0" t="n">
        <v>23</v>
      </c>
      <c r="F7" s="0" t="n">
        <v>20</v>
      </c>
      <c r="G7" s="0" t="n">
        <v>3</v>
      </c>
      <c r="H7" s="0" t="n">
        <v>0</v>
      </c>
      <c r="I7" s="0" t="n">
        <v>0</v>
      </c>
      <c r="J7" s="0" t="n">
        <v>86.9565217391304</v>
      </c>
      <c r="K7" s="0" t="n">
        <v>17.629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0.2121</v>
      </c>
    </row>
    <row r="10" customFormat="false" ht="15" hidden="false" customHeight="false" outlineLevel="0" collapsed="false">
      <c r="A10" s="0" t="s">
        <v>53</v>
      </c>
      <c r="B10" s="0" t="n">
        <v>12</v>
      </c>
      <c r="C10" s="0" t="n">
        <v>0</v>
      </c>
      <c r="D10" s="0" t="n">
        <v>0</v>
      </c>
      <c r="E10" s="0" t="n">
        <v>12</v>
      </c>
      <c r="F10" s="0" t="n">
        <v>8</v>
      </c>
      <c r="G10" s="0" t="n">
        <v>4</v>
      </c>
      <c r="H10" s="0" t="n">
        <v>0</v>
      </c>
      <c r="I10" s="0" t="n">
        <v>0</v>
      </c>
      <c r="J10" s="0" t="n">
        <v>66.6666666666667</v>
      </c>
      <c r="K10" s="0" t="n">
        <v>19.5334166666667</v>
      </c>
    </row>
    <row r="11" customFormat="false" ht="15" hidden="false" customHeight="false" outlineLevel="0" collapsed="false">
      <c r="A11" s="0" t="s">
        <v>54</v>
      </c>
      <c r="B11" s="0" t="n">
        <v>5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5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4</v>
      </c>
      <c r="C15" s="0" t="n">
        <v>0</v>
      </c>
      <c r="D15" s="0" t="n">
        <v>0</v>
      </c>
      <c r="E15" s="0" t="n">
        <v>4</v>
      </c>
      <c r="F15" s="0" t="n">
        <v>1</v>
      </c>
      <c r="G15" s="0" t="n">
        <v>3</v>
      </c>
      <c r="H15" s="0" t="n">
        <v>0</v>
      </c>
      <c r="I15" s="0" t="n">
        <v>0</v>
      </c>
      <c r="J15" s="0" t="n">
        <v>25</v>
      </c>
      <c r="K15" s="0" t="n">
        <v>13.6440833333333</v>
      </c>
    </row>
    <row r="16" customFormat="false" ht="15" hidden="false" customHeight="false" outlineLevel="0" collapsed="false">
      <c r="A16" s="0" t="s">
        <v>59</v>
      </c>
      <c r="B16" s="0" t="n">
        <v>7</v>
      </c>
      <c r="C16" s="0" t="n">
        <v>0</v>
      </c>
      <c r="D16" s="0" t="n">
        <v>0</v>
      </c>
      <c r="E16" s="0" t="n">
        <v>7</v>
      </c>
      <c r="F16" s="0" t="n">
        <v>2</v>
      </c>
      <c r="G16" s="0" t="n">
        <v>5</v>
      </c>
      <c r="H16" s="0" t="n">
        <v>0</v>
      </c>
      <c r="I16" s="0" t="n">
        <v>0</v>
      </c>
      <c r="J16" s="0" t="n">
        <v>28.5714285714286</v>
      </c>
      <c r="K16" s="0" t="n">
        <v>22.62165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4</v>
      </c>
      <c r="C18" s="0" t="n">
        <v>0</v>
      </c>
      <c r="D18" s="0" t="n">
        <v>0</v>
      </c>
      <c r="E18" s="0" t="n">
        <v>4</v>
      </c>
      <c r="F18" s="0" t="n">
        <v>1</v>
      </c>
      <c r="G18" s="0" t="n">
        <v>3</v>
      </c>
      <c r="H18" s="0" t="n">
        <v>0</v>
      </c>
      <c r="I18" s="0" t="n">
        <v>0</v>
      </c>
      <c r="J18" s="0" t="n">
        <v>25</v>
      </c>
      <c r="K18" s="0" t="n">
        <v>14.3738833333333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16</v>
      </c>
      <c r="C21" s="0" t="n">
        <v>0</v>
      </c>
      <c r="D21" s="0" t="n">
        <v>0</v>
      </c>
      <c r="E21" s="0" t="n">
        <v>16</v>
      </c>
      <c r="F21" s="0" t="n">
        <v>13</v>
      </c>
      <c r="G21" s="0" t="n">
        <v>3</v>
      </c>
      <c r="H21" s="0" t="n">
        <v>0</v>
      </c>
      <c r="I21" s="0" t="n">
        <v>0</v>
      </c>
      <c r="J21" s="0" t="n">
        <v>81.25</v>
      </c>
      <c r="K21" s="0" t="n">
        <v>18.1425666666667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10</v>
      </c>
      <c r="C23" s="0" t="n">
        <v>0</v>
      </c>
      <c r="D23" s="0" t="n">
        <v>0</v>
      </c>
      <c r="E23" s="0" t="n">
        <v>10</v>
      </c>
      <c r="F23" s="0" t="n">
        <v>7</v>
      </c>
      <c r="G23" s="0" t="n">
        <v>3</v>
      </c>
      <c r="H23" s="0" t="n">
        <v>0</v>
      </c>
      <c r="I23" s="0" t="n">
        <v>0</v>
      </c>
      <c r="J23" s="0" t="n">
        <v>70</v>
      </c>
      <c r="K23" s="0" t="n">
        <v>15.9466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4</v>
      </c>
      <c r="C33" s="0" t="n">
        <v>0</v>
      </c>
      <c r="D33" s="0" t="n">
        <v>0</v>
      </c>
      <c r="E33" s="0" t="n">
        <v>4</v>
      </c>
      <c r="F33" s="0" t="n">
        <v>3</v>
      </c>
      <c r="G33" s="0" t="n">
        <v>1</v>
      </c>
      <c r="H33" s="0" t="n">
        <v>0</v>
      </c>
      <c r="I33" s="0" t="n">
        <v>0</v>
      </c>
      <c r="J33" s="0" t="n">
        <v>75</v>
      </c>
      <c r="K33" s="0" t="n">
        <v>5.2931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7</v>
      </c>
      <c r="C43" s="0" t="n">
        <v>0</v>
      </c>
      <c r="D43" s="0" t="n">
        <v>0</v>
      </c>
      <c r="E43" s="0" t="n">
        <v>7</v>
      </c>
      <c r="F43" s="0" t="n">
        <v>5</v>
      </c>
      <c r="G43" s="0" t="n">
        <v>2</v>
      </c>
      <c r="H43" s="0" t="n">
        <v>0</v>
      </c>
      <c r="I43" s="0" t="n">
        <v>0</v>
      </c>
      <c r="J43" s="0" t="n">
        <v>71.4285714285714</v>
      </c>
      <c r="K43" s="0" t="n">
        <v>10.7442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5</v>
      </c>
      <c r="C45" s="0" t="n">
        <v>0</v>
      </c>
      <c r="D45" s="0" t="n">
        <v>0</v>
      </c>
      <c r="E45" s="0" t="n">
        <v>5</v>
      </c>
      <c r="F45" s="0" t="n">
        <v>3</v>
      </c>
      <c r="G45" s="0" t="n">
        <v>2</v>
      </c>
      <c r="H45" s="0" t="n">
        <v>0</v>
      </c>
      <c r="I45" s="0" t="n">
        <v>0</v>
      </c>
      <c r="J45" s="0" t="n">
        <v>60</v>
      </c>
      <c r="K45" s="0" t="n">
        <v>9.98323333333333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112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107</v>
      </c>
      <c r="F46" s="0" t="n">
        <f aca="false">SUM(F2:F45)</f>
        <v>77</v>
      </c>
      <c r="G46" s="0" t="n">
        <f aca="false">SUM(G2:G45)</f>
        <v>30</v>
      </c>
      <c r="H46" s="0" t="n">
        <f aca="false">SUM(H2:H45)</f>
        <v>0</v>
      </c>
      <c r="I46" s="0" t="n">
        <f aca="false">SUM(I2:I45)</f>
        <v>5</v>
      </c>
      <c r="J46" s="0" t="n">
        <f aca="false">(F46+I46)/B46*100</f>
        <v>73.2142857142857</v>
      </c>
      <c r="K46" s="0" t="n">
        <f aca="false">SUM(K2:K45)</f>
        <v>156.41075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4</v>
      </c>
      <c r="C3" s="0" t="n">
        <v>0</v>
      </c>
      <c r="D3" s="0" t="n">
        <v>0</v>
      </c>
      <c r="E3" s="0" t="n">
        <v>4</v>
      </c>
      <c r="F3" s="0" t="n">
        <v>4</v>
      </c>
      <c r="G3" s="0" t="n">
        <v>0</v>
      </c>
      <c r="H3" s="0" t="n">
        <v>0</v>
      </c>
      <c r="I3" s="0" t="n">
        <v>0</v>
      </c>
      <c r="J3" s="0" t="n">
        <v>100</v>
      </c>
      <c r="K3" s="0" t="n">
        <v>0.837916666666667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5</v>
      </c>
      <c r="C6" s="0" t="n">
        <v>0</v>
      </c>
      <c r="D6" s="0" t="n">
        <v>0</v>
      </c>
      <c r="E6" s="0" t="n">
        <v>5</v>
      </c>
      <c r="F6" s="0" t="n">
        <v>5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1.0455</v>
      </c>
    </row>
    <row r="7" customFormat="false" ht="15" hidden="false" customHeight="false" outlineLevel="0" collapsed="false">
      <c r="A7" s="0" t="s">
        <v>50</v>
      </c>
      <c r="B7" s="0" t="n">
        <v>17</v>
      </c>
      <c r="C7" s="0" t="n">
        <v>0</v>
      </c>
      <c r="D7" s="0" t="n">
        <v>0</v>
      </c>
      <c r="E7" s="0" t="n">
        <v>17</v>
      </c>
      <c r="F7" s="0" t="n">
        <v>14</v>
      </c>
      <c r="G7" s="0" t="n">
        <v>3</v>
      </c>
      <c r="H7" s="0" t="n">
        <v>0</v>
      </c>
      <c r="I7" s="0" t="n">
        <v>0</v>
      </c>
      <c r="J7" s="0" t="n">
        <v>82.3529411764706</v>
      </c>
      <c r="K7" s="0" t="n">
        <v>13.1668333333333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0.212533333333333</v>
      </c>
    </row>
    <row r="10" customFormat="false" ht="15" hidden="false" customHeight="false" outlineLevel="0" collapsed="false">
      <c r="A10" s="0" t="s">
        <v>53</v>
      </c>
      <c r="B10" s="0" t="n">
        <v>8</v>
      </c>
      <c r="C10" s="0" t="n">
        <v>0</v>
      </c>
      <c r="D10" s="0" t="n">
        <v>0</v>
      </c>
      <c r="E10" s="0" t="n">
        <v>8</v>
      </c>
      <c r="F10" s="0" t="n">
        <v>6</v>
      </c>
      <c r="G10" s="0" t="n">
        <v>2</v>
      </c>
      <c r="H10" s="0" t="n">
        <v>0</v>
      </c>
      <c r="I10" s="0" t="n">
        <v>0</v>
      </c>
      <c r="J10" s="0" t="n">
        <v>75</v>
      </c>
      <c r="K10" s="0" t="n">
        <v>8.26285</v>
      </c>
    </row>
    <row r="11" customFormat="false" ht="15" hidden="false" customHeight="false" outlineLevel="0" collapsed="false">
      <c r="A11" s="0" t="s">
        <v>54</v>
      </c>
      <c r="B11" s="0" t="n">
        <v>1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4</v>
      </c>
      <c r="C15" s="0" t="n">
        <v>0</v>
      </c>
      <c r="D15" s="0" t="n">
        <v>0</v>
      </c>
      <c r="E15" s="0" t="n">
        <v>4</v>
      </c>
      <c r="F15" s="0" t="n">
        <v>1</v>
      </c>
      <c r="G15" s="0" t="n">
        <v>3</v>
      </c>
      <c r="H15" s="0" t="n">
        <v>0</v>
      </c>
      <c r="I15" s="0" t="n">
        <v>0</v>
      </c>
      <c r="J15" s="0" t="n">
        <v>25</v>
      </c>
      <c r="K15" s="0" t="n">
        <v>10.7571333333333</v>
      </c>
    </row>
    <row r="16" customFormat="false" ht="15" hidden="false" customHeight="false" outlineLevel="0" collapsed="false">
      <c r="A16" s="0" t="s">
        <v>59</v>
      </c>
      <c r="B16" s="0" t="n">
        <v>7</v>
      </c>
      <c r="C16" s="0" t="n">
        <v>0</v>
      </c>
      <c r="D16" s="0" t="n">
        <v>0</v>
      </c>
      <c r="E16" s="0" t="n">
        <v>7</v>
      </c>
      <c r="F16" s="0" t="n">
        <v>2</v>
      </c>
      <c r="G16" s="0" t="n">
        <v>5</v>
      </c>
      <c r="H16" s="0" t="n">
        <v>0</v>
      </c>
      <c r="I16" s="0" t="n">
        <v>0</v>
      </c>
      <c r="J16" s="0" t="n">
        <v>28.5714285714286</v>
      </c>
      <c r="K16" s="0" t="n">
        <v>17.7819666666667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1</v>
      </c>
      <c r="C18" s="0" t="n">
        <v>0</v>
      </c>
      <c r="D18" s="0" t="n">
        <v>0</v>
      </c>
      <c r="E18" s="0" t="n">
        <v>1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0.209516666666667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10</v>
      </c>
      <c r="C21" s="0" t="n">
        <v>0</v>
      </c>
      <c r="D21" s="0" t="n">
        <v>0</v>
      </c>
      <c r="E21" s="0" t="n">
        <v>10</v>
      </c>
      <c r="F21" s="0" t="n">
        <v>8</v>
      </c>
      <c r="G21" s="0" t="n">
        <v>2</v>
      </c>
      <c r="H21" s="0" t="n">
        <v>0</v>
      </c>
      <c r="I21" s="0" t="n">
        <v>0</v>
      </c>
      <c r="J21" s="0" t="n">
        <v>80</v>
      </c>
      <c r="K21" s="0" t="n">
        <v>8.41983333333333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4</v>
      </c>
      <c r="C23" s="0" t="n">
        <v>0</v>
      </c>
      <c r="D23" s="0" t="n">
        <v>0</v>
      </c>
      <c r="E23" s="0" t="n">
        <v>4</v>
      </c>
      <c r="F23" s="0" t="n">
        <v>2</v>
      </c>
      <c r="G23" s="0" t="n">
        <v>2</v>
      </c>
      <c r="H23" s="0" t="n">
        <v>0</v>
      </c>
      <c r="I23" s="0" t="n">
        <v>0</v>
      </c>
      <c r="J23" s="0" t="n">
        <v>50</v>
      </c>
      <c r="K23" s="0" t="n">
        <v>6.88026666666667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5</v>
      </c>
      <c r="C45" s="0" t="n">
        <v>0</v>
      </c>
      <c r="D45" s="0" t="n">
        <v>0</v>
      </c>
      <c r="E45" s="0" t="n">
        <v>5</v>
      </c>
      <c r="F45" s="0" t="n">
        <v>3</v>
      </c>
      <c r="G45" s="0" t="n">
        <v>2</v>
      </c>
      <c r="H45" s="0" t="n">
        <v>0</v>
      </c>
      <c r="I45" s="0" t="n">
        <v>0</v>
      </c>
      <c r="J45" s="0" t="n">
        <v>60</v>
      </c>
      <c r="K45" s="0" t="n">
        <v>6.89848333333333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67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66</v>
      </c>
      <c r="F46" s="0" t="n">
        <f aca="false">SUM(F2:F45)</f>
        <v>47</v>
      </c>
      <c r="G46" s="0" t="n">
        <f aca="false">SUM(G2:G45)</f>
        <v>19</v>
      </c>
      <c r="H46" s="0" t="n">
        <f aca="false">SUM(H2:H45)</f>
        <v>0</v>
      </c>
      <c r="I46" s="0" t="n">
        <f aca="false">SUM(I2:I45)</f>
        <v>1</v>
      </c>
      <c r="J46" s="0" t="n">
        <f aca="false">(F46+I46)/B46*100</f>
        <v>71.6417910447761</v>
      </c>
      <c r="K46" s="0" t="n">
        <f aca="false">SUM(K2:K45)</f>
        <v>74.4728333333333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5</v>
      </c>
      <c r="C6" s="0" t="n">
        <v>0</v>
      </c>
      <c r="D6" s="0" t="n">
        <v>0</v>
      </c>
      <c r="E6" s="0" t="n">
        <v>5</v>
      </c>
      <c r="F6" s="0" t="n">
        <v>5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1.04901666666667</v>
      </c>
    </row>
    <row r="7" customFormat="false" ht="15" hidden="false" customHeight="false" outlineLevel="0" collapsed="false">
      <c r="A7" s="0" t="s">
        <v>50</v>
      </c>
      <c r="B7" s="0" t="n">
        <v>5</v>
      </c>
      <c r="C7" s="0" t="n">
        <v>0</v>
      </c>
      <c r="D7" s="0" t="n">
        <v>0</v>
      </c>
      <c r="E7" s="0" t="n">
        <v>5</v>
      </c>
      <c r="F7" s="0" t="n">
        <v>4</v>
      </c>
      <c r="G7" s="0" t="n">
        <v>1</v>
      </c>
      <c r="H7" s="0" t="n">
        <v>0</v>
      </c>
      <c r="I7" s="0" t="n">
        <v>0</v>
      </c>
      <c r="J7" s="0" t="n">
        <v>80</v>
      </c>
      <c r="K7" s="0" t="n">
        <v>2.09026666666667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0.2068</v>
      </c>
    </row>
    <row r="10" customFormat="false" ht="15" hidden="false" customHeight="false" outlineLevel="0" collapsed="false">
      <c r="A10" s="0" t="s">
        <v>53</v>
      </c>
      <c r="B10" s="0" t="n">
        <v>9</v>
      </c>
      <c r="C10" s="0" t="n">
        <v>0</v>
      </c>
      <c r="D10" s="0" t="n">
        <v>0</v>
      </c>
      <c r="E10" s="0" t="n">
        <v>9</v>
      </c>
      <c r="F10" s="0" t="n">
        <v>5</v>
      </c>
      <c r="G10" s="0" t="n">
        <v>4</v>
      </c>
      <c r="H10" s="0" t="n">
        <v>0</v>
      </c>
      <c r="I10" s="0" t="n">
        <v>0</v>
      </c>
      <c r="J10" s="0" t="n">
        <v>55.5555555555556</v>
      </c>
      <c r="K10" s="0" t="n">
        <v>6.0864</v>
      </c>
    </row>
    <row r="11" customFormat="false" ht="15" hidden="false" customHeight="false" outlineLevel="0" collapsed="false">
      <c r="A11" s="0" t="s">
        <v>54</v>
      </c>
      <c r="B11" s="0" t="n">
        <v>3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3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7</v>
      </c>
      <c r="C15" s="0" t="n">
        <v>0</v>
      </c>
      <c r="D15" s="0" t="n">
        <v>0</v>
      </c>
      <c r="E15" s="0" t="n">
        <v>7</v>
      </c>
      <c r="F15" s="0" t="n">
        <v>1</v>
      </c>
      <c r="G15" s="0" t="n">
        <v>6</v>
      </c>
      <c r="H15" s="0" t="n">
        <v>0</v>
      </c>
      <c r="I15" s="0" t="n">
        <v>0</v>
      </c>
      <c r="J15" s="0" t="n">
        <v>14.2857142857143</v>
      </c>
      <c r="K15" s="0" t="n">
        <v>7.72503333333333</v>
      </c>
    </row>
    <row r="16" customFormat="false" ht="15" hidden="false" customHeight="false" outlineLevel="0" collapsed="false">
      <c r="A16" s="0" t="s">
        <v>59</v>
      </c>
      <c r="B16" s="0" t="n">
        <v>7</v>
      </c>
      <c r="C16" s="0" t="n">
        <v>0</v>
      </c>
      <c r="D16" s="0" t="n">
        <v>0</v>
      </c>
      <c r="E16" s="0" t="n">
        <v>7</v>
      </c>
      <c r="F16" s="0" t="n">
        <v>4</v>
      </c>
      <c r="G16" s="0" t="n">
        <v>3</v>
      </c>
      <c r="H16" s="0" t="n">
        <v>0</v>
      </c>
      <c r="I16" s="0" t="n">
        <v>0</v>
      </c>
      <c r="J16" s="0" t="n">
        <v>57.1428571428571</v>
      </c>
      <c r="K16" s="0" t="n">
        <v>4.67991666666667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2</v>
      </c>
      <c r="C18" s="0" t="n">
        <v>0</v>
      </c>
      <c r="D18" s="0" t="n">
        <v>0</v>
      </c>
      <c r="E18" s="0" t="n">
        <v>2</v>
      </c>
      <c r="F18" s="0" t="n">
        <v>2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0.41435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3</v>
      </c>
      <c r="C21" s="0" t="n">
        <v>0</v>
      </c>
      <c r="D21" s="0" t="n">
        <v>0</v>
      </c>
      <c r="E21" s="0" t="n">
        <v>3</v>
      </c>
      <c r="F21" s="0" t="n">
        <v>3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0.6319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3</v>
      </c>
      <c r="C45" s="0" t="n">
        <v>0</v>
      </c>
      <c r="D45" s="0" t="n">
        <v>0</v>
      </c>
      <c r="E45" s="0" t="n">
        <v>3</v>
      </c>
      <c r="F45" s="0" t="n">
        <v>2</v>
      </c>
      <c r="G45" s="0" t="n">
        <v>1</v>
      </c>
      <c r="H45" s="0" t="n">
        <v>0</v>
      </c>
      <c r="I45" s="0" t="n">
        <v>0</v>
      </c>
      <c r="J45" s="0" t="n">
        <v>66.6666666666667</v>
      </c>
      <c r="K45" s="0" t="n">
        <v>1.66763333333333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45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42</v>
      </c>
      <c r="F46" s="0" t="n">
        <f aca="false">SUM(F2:F45)</f>
        <v>27</v>
      </c>
      <c r="G46" s="0" t="n">
        <f aca="false">SUM(G2:G45)</f>
        <v>15</v>
      </c>
      <c r="H46" s="0" t="n">
        <f aca="false">SUM(H2:H45)</f>
        <v>0</v>
      </c>
      <c r="I46" s="0" t="n">
        <f aca="false">SUM(I2:I45)</f>
        <v>3</v>
      </c>
      <c r="J46" s="0" t="n">
        <f aca="false">(F46+I46)/B46*100</f>
        <v>66.6666666666667</v>
      </c>
      <c r="K46" s="0" t="n">
        <f aca="false">SUM(K2:K45)</f>
        <v>24.5513166666667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15</v>
      </c>
      <c r="C6" s="0" t="n">
        <v>0</v>
      </c>
      <c r="D6" s="0" t="n">
        <v>0</v>
      </c>
      <c r="E6" s="0" t="n">
        <v>15</v>
      </c>
      <c r="F6" s="0" t="n">
        <v>15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3.17575</v>
      </c>
    </row>
    <row r="7" customFormat="false" ht="15" hidden="false" customHeight="false" outlineLevel="0" collapsed="false">
      <c r="A7" s="0" t="s">
        <v>50</v>
      </c>
      <c r="B7" s="0" t="n">
        <v>69</v>
      </c>
      <c r="C7" s="0" t="n">
        <v>0</v>
      </c>
      <c r="D7" s="0" t="n">
        <v>0</v>
      </c>
      <c r="E7" s="0" t="n">
        <v>69</v>
      </c>
      <c r="F7" s="0" t="n">
        <v>54</v>
      </c>
      <c r="G7" s="0" t="n">
        <v>15</v>
      </c>
      <c r="H7" s="0" t="n">
        <v>0</v>
      </c>
      <c r="I7" s="0" t="n">
        <v>0</v>
      </c>
      <c r="J7" s="0" t="n">
        <v>78.2608695652174</v>
      </c>
      <c r="K7" s="0" t="n">
        <v>40.4515333333333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0.210566666666667</v>
      </c>
    </row>
    <row r="10" customFormat="false" ht="15" hidden="false" customHeight="false" outlineLevel="0" collapsed="false">
      <c r="A10" s="0" t="s">
        <v>53</v>
      </c>
      <c r="B10" s="0" t="n">
        <v>22</v>
      </c>
      <c r="C10" s="0" t="n">
        <v>0</v>
      </c>
      <c r="D10" s="0" t="n">
        <v>0</v>
      </c>
      <c r="E10" s="0" t="n">
        <v>22</v>
      </c>
      <c r="F10" s="0" t="n">
        <v>20</v>
      </c>
      <c r="G10" s="0" t="n">
        <v>2</v>
      </c>
      <c r="H10" s="0" t="n">
        <v>0</v>
      </c>
      <c r="I10" s="0" t="n">
        <v>0</v>
      </c>
      <c r="J10" s="0" t="n">
        <v>90.9090909090909</v>
      </c>
      <c r="K10" s="0" t="n">
        <v>7.82536666666667</v>
      </c>
    </row>
    <row r="11" customFormat="false" ht="15" hidden="false" customHeight="false" outlineLevel="0" collapsed="false">
      <c r="A11" s="0" t="s">
        <v>54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12</v>
      </c>
      <c r="C15" s="0" t="n">
        <v>0</v>
      </c>
      <c r="D15" s="0" t="n">
        <v>0</v>
      </c>
      <c r="E15" s="0" t="n">
        <v>12</v>
      </c>
      <c r="F15" s="0" t="n">
        <v>3</v>
      </c>
      <c r="G15" s="0" t="n">
        <v>9</v>
      </c>
      <c r="H15" s="0" t="n">
        <v>0</v>
      </c>
      <c r="I15" s="0" t="n">
        <v>0</v>
      </c>
      <c r="J15" s="0" t="n">
        <v>25</v>
      </c>
      <c r="K15" s="0" t="n">
        <v>16.6230166666667</v>
      </c>
    </row>
    <row r="16" customFormat="false" ht="15" hidden="false" customHeight="false" outlineLevel="0" collapsed="false">
      <c r="A16" s="0" t="s">
        <v>59</v>
      </c>
      <c r="B16" s="0" t="n">
        <v>19</v>
      </c>
      <c r="C16" s="0" t="n">
        <v>0</v>
      </c>
      <c r="D16" s="0" t="n">
        <v>0</v>
      </c>
      <c r="E16" s="0" t="n">
        <v>19</v>
      </c>
      <c r="F16" s="0" t="n">
        <v>16</v>
      </c>
      <c r="G16" s="0" t="n">
        <v>3</v>
      </c>
      <c r="H16" s="0" t="n">
        <v>0</v>
      </c>
      <c r="I16" s="0" t="n">
        <v>0</v>
      </c>
      <c r="J16" s="0" t="n">
        <v>84.2105263157895</v>
      </c>
      <c r="K16" s="0" t="n">
        <v>9.29553333333333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3</v>
      </c>
      <c r="C18" s="0" t="n">
        <v>0</v>
      </c>
      <c r="D18" s="0" t="n">
        <v>0</v>
      </c>
      <c r="E18" s="0" t="n">
        <v>3</v>
      </c>
      <c r="F18" s="0" t="n">
        <v>3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0.619966666666667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20</v>
      </c>
      <c r="C21" s="0" t="n">
        <v>0</v>
      </c>
      <c r="D21" s="0" t="n">
        <v>0</v>
      </c>
      <c r="E21" s="0" t="n">
        <v>20</v>
      </c>
      <c r="F21" s="0" t="n">
        <v>16</v>
      </c>
      <c r="G21" s="0" t="n">
        <v>4</v>
      </c>
      <c r="H21" s="0" t="n">
        <v>0</v>
      </c>
      <c r="I21" s="0" t="n">
        <v>0</v>
      </c>
      <c r="J21" s="0" t="n">
        <v>80</v>
      </c>
      <c r="K21" s="0" t="n">
        <v>10.9158833333333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7</v>
      </c>
      <c r="C45" s="0" t="n">
        <v>0</v>
      </c>
      <c r="D45" s="0" t="n">
        <v>0</v>
      </c>
      <c r="E45" s="0" t="n">
        <v>7</v>
      </c>
      <c r="F45" s="0" t="n">
        <v>6</v>
      </c>
      <c r="G45" s="0" t="n">
        <v>1</v>
      </c>
      <c r="H45" s="0" t="n">
        <v>0</v>
      </c>
      <c r="I45" s="0" t="n">
        <v>0</v>
      </c>
      <c r="J45" s="0" t="n">
        <v>85.7142857142857</v>
      </c>
      <c r="K45" s="0" t="n">
        <v>3.18413333333333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168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168</v>
      </c>
      <c r="F46" s="0" t="n">
        <f aca="false">SUM(F2:F45)</f>
        <v>134</v>
      </c>
      <c r="G46" s="0" t="n">
        <f aca="false">SUM(G2:G45)</f>
        <v>34</v>
      </c>
      <c r="H46" s="0" t="n">
        <f aca="false">SUM(H2:H45)</f>
        <v>0</v>
      </c>
      <c r="I46" s="0" t="n">
        <f aca="false">SUM(I2:I45)</f>
        <v>0</v>
      </c>
      <c r="J46" s="0" t="n">
        <f aca="false">(F46+I46)/B46*100</f>
        <v>79.7619047619048</v>
      </c>
      <c r="K46" s="0" t="n">
        <f aca="false">SUM(K2:K45)</f>
        <v>92.30175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5</v>
      </c>
      <c r="C6" s="0" t="n">
        <v>0</v>
      </c>
      <c r="D6" s="0" t="n">
        <v>0</v>
      </c>
      <c r="E6" s="0" t="n">
        <v>5</v>
      </c>
      <c r="F6" s="0" t="n">
        <v>5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1.05935</v>
      </c>
    </row>
    <row r="7" customFormat="false" ht="15" hidden="false" customHeight="false" outlineLevel="0" collapsed="false">
      <c r="A7" s="0" t="s">
        <v>50</v>
      </c>
      <c r="B7" s="0" t="n">
        <v>10</v>
      </c>
      <c r="C7" s="0" t="n">
        <v>0</v>
      </c>
      <c r="D7" s="0" t="n">
        <v>0</v>
      </c>
      <c r="E7" s="0" t="n">
        <v>10</v>
      </c>
      <c r="F7" s="0" t="n">
        <v>10</v>
      </c>
      <c r="G7" s="0" t="n">
        <v>0</v>
      </c>
      <c r="H7" s="0" t="n">
        <v>0</v>
      </c>
      <c r="I7" s="0" t="n">
        <v>0</v>
      </c>
      <c r="J7" s="0" t="n">
        <v>100</v>
      </c>
      <c r="K7" s="0" t="n">
        <v>2.12368333333333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0.206766666666667</v>
      </c>
    </row>
    <row r="10" customFormat="false" ht="15" hidden="false" customHeight="false" outlineLevel="0" collapsed="false">
      <c r="A10" s="0" t="s">
        <v>53</v>
      </c>
      <c r="B10" s="0" t="n">
        <v>12</v>
      </c>
      <c r="C10" s="0" t="n">
        <v>0</v>
      </c>
      <c r="D10" s="0" t="n">
        <v>0</v>
      </c>
      <c r="E10" s="0" t="n">
        <v>12</v>
      </c>
      <c r="F10" s="0" t="n">
        <v>10</v>
      </c>
      <c r="G10" s="0" t="n">
        <v>2</v>
      </c>
      <c r="H10" s="0" t="n">
        <v>0</v>
      </c>
      <c r="I10" s="0" t="n">
        <v>0</v>
      </c>
      <c r="J10" s="0" t="n">
        <v>83.3333333333333</v>
      </c>
      <c r="K10" s="0" t="n">
        <v>6.1061</v>
      </c>
    </row>
    <row r="11" customFormat="false" ht="15" hidden="false" customHeight="false" outlineLevel="0" collapsed="false">
      <c r="A11" s="0" t="s">
        <v>54</v>
      </c>
      <c r="B11" s="0" t="n">
        <v>1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1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8</v>
      </c>
      <c r="C15" s="0" t="n">
        <v>0</v>
      </c>
      <c r="D15" s="0" t="n">
        <v>0</v>
      </c>
      <c r="E15" s="0" t="n">
        <v>8</v>
      </c>
      <c r="F15" s="0" t="n">
        <v>3</v>
      </c>
      <c r="G15" s="0" t="n">
        <v>5</v>
      </c>
      <c r="H15" s="0" t="n">
        <v>0</v>
      </c>
      <c r="I15" s="0" t="n">
        <v>0</v>
      </c>
      <c r="J15" s="0" t="n">
        <v>37.5</v>
      </c>
      <c r="K15" s="0" t="n">
        <v>10.9291666666667</v>
      </c>
    </row>
    <row r="16" customFormat="false" ht="15" hidden="false" customHeight="false" outlineLevel="0" collapsed="false">
      <c r="A16" s="0" t="s">
        <v>59</v>
      </c>
      <c r="B16" s="0" t="n">
        <v>9</v>
      </c>
      <c r="C16" s="0" t="n">
        <v>0</v>
      </c>
      <c r="D16" s="0" t="n">
        <v>0</v>
      </c>
      <c r="E16" s="0" t="n">
        <v>9</v>
      </c>
      <c r="F16" s="0" t="n">
        <v>6</v>
      </c>
      <c r="G16" s="0" t="n">
        <v>3</v>
      </c>
      <c r="H16" s="0" t="n">
        <v>0</v>
      </c>
      <c r="I16" s="0" t="n">
        <v>0</v>
      </c>
      <c r="J16" s="0" t="n">
        <v>66.6666666666667</v>
      </c>
      <c r="K16" s="0" t="n">
        <v>7.4333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3</v>
      </c>
      <c r="C18" s="0" t="n">
        <v>0</v>
      </c>
      <c r="D18" s="0" t="n">
        <v>0</v>
      </c>
      <c r="E18" s="0" t="n">
        <v>3</v>
      </c>
      <c r="F18" s="0" t="n">
        <v>3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0.6335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4</v>
      </c>
      <c r="C21" s="0" t="n">
        <v>0</v>
      </c>
      <c r="D21" s="0" t="n">
        <v>0</v>
      </c>
      <c r="E21" s="0" t="n">
        <v>4</v>
      </c>
      <c r="F21" s="0" t="n">
        <v>3</v>
      </c>
      <c r="G21" s="0" t="n">
        <v>1</v>
      </c>
      <c r="H21" s="0" t="n">
        <v>0</v>
      </c>
      <c r="I21" s="0" t="n">
        <v>0</v>
      </c>
      <c r="J21" s="0" t="n">
        <v>75</v>
      </c>
      <c r="K21" s="0" t="n">
        <v>2.69935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4</v>
      </c>
      <c r="C45" s="0" t="n">
        <v>0</v>
      </c>
      <c r="D45" s="0" t="n">
        <v>0</v>
      </c>
      <c r="E45" s="0" t="n">
        <v>4</v>
      </c>
      <c r="F45" s="0" t="n">
        <v>3</v>
      </c>
      <c r="G45" s="0" t="n">
        <v>1</v>
      </c>
      <c r="H45" s="0" t="n">
        <v>0</v>
      </c>
      <c r="I45" s="0" t="n">
        <v>0</v>
      </c>
      <c r="J45" s="0" t="n">
        <v>75</v>
      </c>
      <c r="K45" s="0" t="n">
        <v>2.68308333333333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57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56</v>
      </c>
      <c r="F46" s="0" t="n">
        <f aca="false">SUM(F2:F45)</f>
        <v>44</v>
      </c>
      <c r="G46" s="0" t="n">
        <f aca="false">SUM(G2:G45)</f>
        <v>12</v>
      </c>
      <c r="H46" s="0" t="n">
        <f aca="false">SUM(H2:H45)</f>
        <v>0</v>
      </c>
      <c r="I46" s="0" t="n">
        <f aca="false">SUM(I2:I45)</f>
        <v>1</v>
      </c>
      <c r="J46" s="0" t="n">
        <f aca="false">(F46+I46)/B46*100</f>
        <v>78.9473684210526</v>
      </c>
      <c r="K46" s="0" t="n">
        <f aca="false">SUM(K2:K45)</f>
        <v>33.8743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8</v>
      </c>
      <c r="C6" s="0" t="n">
        <v>0</v>
      </c>
      <c r="D6" s="0" t="n">
        <v>0</v>
      </c>
      <c r="E6" s="0" t="n">
        <v>8</v>
      </c>
      <c r="F6" s="0" t="n">
        <v>8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1.65465</v>
      </c>
    </row>
    <row r="7" customFormat="false" ht="15" hidden="false" customHeight="false" outlineLevel="0" collapsed="false">
      <c r="A7" s="0" t="s">
        <v>50</v>
      </c>
      <c r="B7" s="0" t="n">
        <v>12</v>
      </c>
      <c r="C7" s="0" t="n">
        <v>0</v>
      </c>
      <c r="D7" s="0" t="n">
        <v>0</v>
      </c>
      <c r="E7" s="0" t="n">
        <v>12</v>
      </c>
      <c r="F7" s="0" t="n">
        <v>11</v>
      </c>
      <c r="G7" s="0" t="n">
        <v>1</v>
      </c>
      <c r="H7" s="0" t="n">
        <v>0</v>
      </c>
      <c r="I7" s="0" t="n">
        <v>0</v>
      </c>
      <c r="J7" s="0" t="n">
        <v>91.6666666666667</v>
      </c>
      <c r="K7" s="0" t="n">
        <v>4.97601666666667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0.206133333333333</v>
      </c>
    </row>
    <row r="10" customFormat="false" ht="15" hidden="false" customHeight="false" outlineLevel="0" collapsed="false">
      <c r="A10" s="0" t="s">
        <v>53</v>
      </c>
      <c r="B10" s="0" t="n">
        <v>12</v>
      </c>
      <c r="C10" s="0" t="n">
        <v>0</v>
      </c>
      <c r="D10" s="0" t="n">
        <v>0</v>
      </c>
      <c r="E10" s="0" t="n">
        <v>12</v>
      </c>
      <c r="F10" s="0" t="n">
        <v>10</v>
      </c>
      <c r="G10" s="0" t="n">
        <v>2</v>
      </c>
      <c r="H10" s="0" t="n">
        <v>0</v>
      </c>
      <c r="I10" s="0" t="n">
        <v>0</v>
      </c>
      <c r="J10" s="0" t="n">
        <v>83.3333333333333</v>
      </c>
      <c r="K10" s="0" t="n">
        <v>8.12288333333333</v>
      </c>
    </row>
    <row r="11" customFormat="false" ht="15" hidden="false" customHeight="false" outlineLevel="0" collapsed="false">
      <c r="A11" s="0" t="s">
        <v>54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12</v>
      </c>
      <c r="C15" s="0" t="n">
        <v>0</v>
      </c>
      <c r="D15" s="0" t="n">
        <v>0</v>
      </c>
      <c r="E15" s="0" t="n">
        <v>12</v>
      </c>
      <c r="F15" s="0" t="n">
        <v>3</v>
      </c>
      <c r="G15" s="0" t="n">
        <v>9</v>
      </c>
      <c r="H15" s="0" t="n">
        <v>0</v>
      </c>
      <c r="I15" s="0" t="n">
        <v>0</v>
      </c>
      <c r="J15" s="0" t="n">
        <v>25</v>
      </c>
      <c r="K15" s="0" t="n">
        <v>28.8064833333333</v>
      </c>
    </row>
    <row r="16" customFormat="false" ht="15" hidden="false" customHeight="false" outlineLevel="0" collapsed="false">
      <c r="A16" s="0" t="s">
        <v>59</v>
      </c>
      <c r="B16" s="0" t="n">
        <v>9</v>
      </c>
      <c r="C16" s="0" t="n">
        <v>0</v>
      </c>
      <c r="D16" s="0" t="n">
        <v>0</v>
      </c>
      <c r="E16" s="0" t="n">
        <v>9</v>
      </c>
      <c r="F16" s="0" t="n">
        <v>7</v>
      </c>
      <c r="G16" s="0" t="n">
        <v>2</v>
      </c>
      <c r="H16" s="0" t="n">
        <v>0</v>
      </c>
      <c r="I16" s="0" t="n">
        <v>0</v>
      </c>
      <c r="J16" s="0" t="n">
        <v>77.7777777777778</v>
      </c>
      <c r="K16" s="0" t="n">
        <v>7.53926666666667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3</v>
      </c>
      <c r="C18" s="0" t="n">
        <v>0</v>
      </c>
      <c r="D18" s="0" t="n">
        <v>0</v>
      </c>
      <c r="E18" s="0" t="n">
        <v>3</v>
      </c>
      <c r="F18" s="0" t="n">
        <v>3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0.622766666666667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9</v>
      </c>
      <c r="C21" s="0" t="n">
        <v>0</v>
      </c>
      <c r="D21" s="0" t="n">
        <v>0</v>
      </c>
      <c r="E21" s="0" t="n">
        <v>9</v>
      </c>
      <c r="F21" s="0" t="n">
        <v>9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1.87311666666667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3</v>
      </c>
      <c r="C45" s="0" t="n">
        <v>0</v>
      </c>
      <c r="D45" s="0" t="n">
        <v>0</v>
      </c>
      <c r="E45" s="0" t="n">
        <v>3</v>
      </c>
      <c r="F45" s="0" t="n">
        <v>2</v>
      </c>
      <c r="G45" s="0" t="n">
        <v>1</v>
      </c>
      <c r="H45" s="0" t="n">
        <v>0</v>
      </c>
      <c r="I45" s="0" t="n">
        <v>0</v>
      </c>
      <c r="J45" s="0" t="n">
        <v>66.6666666666667</v>
      </c>
      <c r="K45" s="0" t="n">
        <v>3.36946666666667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69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69</v>
      </c>
      <c r="F46" s="0" t="n">
        <f aca="false">SUM(F2:F45)</f>
        <v>54</v>
      </c>
      <c r="G46" s="0" t="n">
        <f aca="false">SUM(G2:G45)</f>
        <v>15</v>
      </c>
      <c r="H46" s="0" t="n">
        <f aca="false">SUM(H2:H45)</f>
        <v>0</v>
      </c>
      <c r="I46" s="0" t="n">
        <f aca="false">SUM(I2:I45)</f>
        <v>0</v>
      </c>
      <c r="J46" s="0" t="n">
        <f aca="false">(F46+I46)/B46*100</f>
        <v>78.2608695652174</v>
      </c>
      <c r="K46" s="0" t="n">
        <f aca="false">SUM(K2:K45)</f>
        <v>57.1707833333333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3</v>
      </c>
      <c r="C6" s="0" t="n">
        <v>0</v>
      </c>
      <c r="D6" s="0" t="n">
        <v>0</v>
      </c>
      <c r="E6" s="0" t="n">
        <v>3</v>
      </c>
      <c r="F6" s="0" t="n">
        <v>3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0.696233333333333</v>
      </c>
    </row>
    <row r="7" customFormat="false" ht="15" hidden="false" customHeight="false" outlineLevel="0" collapsed="false">
      <c r="A7" s="0" t="s">
        <v>50</v>
      </c>
      <c r="B7" s="0" t="n">
        <v>31</v>
      </c>
      <c r="C7" s="0" t="n">
        <v>0</v>
      </c>
      <c r="D7" s="0" t="n">
        <v>0</v>
      </c>
      <c r="E7" s="0" t="n">
        <v>31</v>
      </c>
      <c r="F7" s="0" t="n">
        <v>29</v>
      </c>
      <c r="G7" s="0" t="n">
        <v>2</v>
      </c>
      <c r="H7" s="0" t="n">
        <v>0</v>
      </c>
      <c r="I7" s="0" t="n">
        <v>0</v>
      </c>
      <c r="J7" s="0" t="n">
        <v>93.5483870967742</v>
      </c>
      <c r="K7" s="0" t="n">
        <v>21.1681666666667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0.220433333333333</v>
      </c>
    </row>
    <row r="10" customFormat="false" ht="15" hidden="false" customHeight="false" outlineLevel="0" collapsed="false">
      <c r="A10" s="0" t="s">
        <v>53</v>
      </c>
      <c r="B10" s="0" t="n">
        <v>18</v>
      </c>
      <c r="C10" s="0" t="n">
        <v>0</v>
      </c>
      <c r="D10" s="0" t="n">
        <v>0</v>
      </c>
      <c r="E10" s="0" t="n">
        <v>18</v>
      </c>
      <c r="F10" s="0" t="n">
        <v>13</v>
      </c>
      <c r="G10" s="0" t="n">
        <v>5</v>
      </c>
      <c r="H10" s="0" t="n">
        <v>0</v>
      </c>
      <c r="I10" s="0" t="n">
        <v>0</v>
      </c>
      <c r="J10" s="0" t="n">
        <v>72.2222222222222</v>
      </c>
      <c r="K10" s="0" t="n">
        <v>39.78115</v>
      </c>
    </row>
    <row r="11" customFormat="false" ht="15" hidden="false" customHeight="false" outlineLevel="0" collapsed="false">
      <c r="A11" s="0" t="s">
        <v>54</v>
      </c>
      <c r="B11" s="0" t="n">
        <v>2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2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8</v>
      </c>
      <c r="C15" s="0" t="n">
        <v>0</v>
      </c>
      <c r="D15" s="0" t="n">
        <v>0</v>
      </c>
      <c r="E15" s="0" t="n">
        <v>8</v>
      </c>
      <c r="F15" s="0" t="n">
        <v>4</v>
      </c>
      <c r="G15" s="0" t="n">
        <v>4</v>
      </c>
      <c r="H15" s="0" t="n">
        <v>0</v>
      </c>
      <c r="I15" s="0" t="n">
        <v>0</v>
      </c>
      <c r="J15" s="0" t="n">
        <v>50</v>
      </c>
      <c r="K15" s="0" t="n">
        <v>28.85295</v>
      </c>
    </row>
    <row r="16" customFormat="false" ht="15" hidden="false" customHeight="false" outlineLevel="0" collapsed="false">
      <c r="A16" s="0" t="s">
        <v>59</v>
      </c>
      <c r="B16" s="0" t="n">
        <v>1</v>
      </c>
      <c r="C16" s="0" t="n">
        <v>0</v>
      </c>
      <c r="D16" s="0" t="n">
        <v>0</v>
      </c>
      <c r="E16" s="0" t="n">
        <v>1</v>
      </c>
      <c r="F16" s="0" t="n">
        <v>0</v>
      </c>
      <c r="G16" s="0" t="n">
        <v>1</v>
      </c>
      <c r="H16" s="0" t="n">
        <v>0</v>
      </c>
      <c r="I16" s="0" t="n">
        <v>0</v>
      </c>
      <c r="J16" s="0" t="n">
        <v>0</v>
      </c>
      <c r="K16" s="0" t="n">
        <v>6.73418333333333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5</v>
      </c>
      <c r="C18" s="0" t="n">
        <v>0</v>
      </c>
      <c r="D18" s="0" t="n">
        <v>0</v>
      </c>
      <c r="E18" s="0" t="n">
        <v>5</v>
      </c>
      <c r="F18" s="0" t="n">
        <v>5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1.07318333333333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3</v>
      </c>
      <c r="C21" s="0" t="n">
        <v>0</v>
      </c>
      <c r="D21" s="0" t="n">
        <v>0</v>
      </c>
      <c r="E21" s="0" t="n">
        <v>3</v>
      </c>
      <c r="F21" s="0" t="n">
        <v>3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0.651083333333333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5</v>
      </c>
      <c r="C45" s="0" t="n">
        <v>0</v>
      </c>
      <c r="D45" s="0" t="n">
        <v>0</v>
      </c>
      <c r="E45" s="0" t="n">
        <v>5</v>
      </c>
      <c r="F45" s="0" t="n">
        <v>1</v>
      </c>
      <c r="G45" s="0" t="n">
        <v>4</v>
      </c>
      <c r="H45" s="0" t="n">
        <v>0</v>
      </c>
      <c r="I45" s="0" t="n">
        <v>0</v>
      </c>
      <c r="J45" s="0" t="n">
        <v>20</v>
      </c>
      <c r="K45" s="0" t="n">
        <v>26.9678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77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75</v>
      </c>
      <c r="F46" s="0" t="n">
        <f aca="false">SUM(F2:F45)</f>
        <v>59</v>
      </c>
      <c r="G46" s="0" t="n">
        <f aca="false">SUM(G2:G45)</f>
        <v>16</v>
      </c>
      <c r="H46" s="0" t="n">
        <f aca="false">SUM(H2:H45)</f>
        <v>0</v>
      </c>
      <c r="I46" s="0" t="n">
        <f aca="false">SUM(I2:I45)</f>
        <v>2</v>
      </c>
      <c r="J46" s="0" t="n">
        <f aca="false">(F46+I46)/B46*100</f>
        <v>79.2207792207792</v>
      </c>
      <c r="K46" s="0" t="n">
        <f aca="false">SUM(K2:K45)</f>
        <v>126.145183333333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3</v>
      </c>
      <c r="K1" s="1" t="s">
        <v>44</v>
      </c>
    </row>
    <row r="2" customFormat="false" ht="15" hidden="false" customHeight="false" outlineLevel="0" collapsed="false">
      <c r="A2" s="0" t="s">
        <v>45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v>0</v>
      </c>
    </row>
    <row r="3" customFormat="false" ht="15" hidden="false" customHeight="false" outlineLevel="0" collapsed="false">
      <c r="A3" s="0" t="s">
        <v>46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v>0</v>
      </c>
    </row>
    <row r="4" customFormat="false" ht="15" hidden="false" customHeight="false" outlineLevel="0" collapsed="false">
      <c r="A4" s="0" t="s">
        <v>47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K4" s="0" t="n">
        <v>0</v>
      </c>
    </row>
    <row r="5" customFormat="false" ht="15" hidden="false" customHeight="false" outlineLevel="0" collapsed="false">
      <c r="A5" s="0" t="s">
        <v>48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K5" s="0" t="n">
        <v>0</v>
      </c>
    </row>
    <row r="6" customFormat="false" ht="15" hidden="false" customHeight="false" outlineLevel="0" collapsed="false">
      <c r="A6" s="0" t="s">
        <v>49</v>
      </c>
      <c r="B6" s="0" t="n">
        <v>3</v>
      </c>
      <c r="C6" s="0" t="n">
        <v>0</v>
      </c>
      <c r="D6" s="0" t="n">
        <v>0</v>
      </c>
      <c r="E6" s="0" t="n">
        <v>3</v>
      </c>
      <c r="F6" s="0" t="n">
        <v>3</v>
      </c>
      <c r="G6" s="0" t="n">
        <v>0</v>
      </c>
      <c r="H6" s="0" t="n">
        <v>0</v>
      </c>
      <c r="I6" s="0" t="n">
        <v>0</v>
      </c>
      <c r="J6" s="0" t="n">
        <v>100</v>
      </c>
      <c r="K6" s="0" t="n">
        <v>0.6104</v>
      </c>
    </row>
    <row r="7" customFormat="false" ht="15" hidden="false" customHeight="false" outlineLevel="0" collapsed="false">
      <c r="A7" s="0" t="s">
        <v>50</v>
      </c>
      <c r="B7" s="0" t="n">
        <v>17</v>
      </c>
      <c r="C7" s="0" t="n">
        <v>0</v>
      </c>
      <c r="D7" s="0" t="n">
        <v>0</v>
      </c>
      <c r="E7" s="0" t="n">
        <v>17</v>
      </c>
      <c r="F7" s="0" t="n">
        <v>17</v>
      </c>
      <c r="G7" s="0" t="n">
        <v>0</v>
      </c>
      <c r="H7" s="0" t="n">
        <v>0</v>
      </c>
      <c r="I7" s="0" t="n">
        <v>0</v>
      </c>
      <c r="J7" s="0" t="n">
        <v>100</v>
      </c>
      <c r="K7" s="0" t="n">
        <v>3.53326666666667</v>
      </c>
    </row>
    <row r="8" customFormat="false" ht="15" hidden="false" customHeight="false" outlineLevel="0" collapsed="false">
      <c r="A8" s="0" t="s">
        <v>51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K8" s="0" t="n">
        <v>0</v>
      </c>
    </row>
    <row r="9" customFormat="false" ht="15" hidden="false" customHeight="false" outlineLevel="0" collapsed="false">
      <c r="A9" s="0" t="s">
        <v>52</v>
      </c>
      <c r="B9" s="0" t="n">
        <v>1</v>
      </c>
      <c r="C9" s="0" t="n">
        <v>0</v>
      </c>
      <c r="D9" s="0" t="n">
        <v>0</v>
      </c>
      <c r="E9" s="0" t="n">
        <v>1</v>
      </c>
      <c r="F9" s="0" t="n">
        <v>1</v>
      </c>
      <c r="G9" s="0" t="n">
        <v>0</v>
      </c>
      <c r="H9" s="0" t="n">
        <v>0</v>
      </c>
      <c r="I9" s="0" t="n">
        <v>0</v>
      </c>
      <c r="J9" s="0" t="n">
        <v>100</v>
      </c>
      <c r="K9" s="0" t="n">
        <v>0.205516666666667</v>
      </c>
    </row>
    <row r="10" customFormat="false" ht="15" hidden="false" customHeight="false" outlineLevel="0" collapsed="false">
      <c r="A10" s="0" t="s">
        <v>53</v>
      </c>
      <c r="B10" s="0" t="n">
        <v>12</v>
      </c>
      <c r="C10" s="0" t="n">
        <v>0</v>
      </c>
      <c r="D10" s="0" t="n">
        <v>0</v>
      </c>
      <c r="E10" s="0" t="n">
        <v>12</v>
      </c>
      <c r="F10" s="0" t="n">
        <v>10</v>
      </c>
      <c r="G10" s="0" t="n">
        <v>2</v>
      </c>
      <c r="H10" s="0" t="n">
        <v>0</v>
      </c>
      <c r="I10" s="0" t="n">
        <v>0</v>
      </c>
      <c r="J10" s="0" t="n">
        <v>83.3333333333333</v>
      </c>
      <c r="K10" s="0" t="n">
        <v>4.95126666666667</v>
      </c>
    </row>
    <row r="11" customFormat="false" ht="15" hidden="false" customHeight="false" outlineLevel="0" collapsed="false">
      <c r="A11" s="0" t="s">
        <v>54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K11" s="0" t="n">
        <v>0</v>
      </c>
    </row>
    <row r="12" customFormat="false" ht="15" hidden="false" customHeight="false" outlineLevel="0" collapsed="false">
      <c r="A12" s="0" t="s">
        <v>55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K12" s="0" t="n">
        <v>0</v>
      </c>
    </row>
    <row r="13" customFormat="false" ht="15" hidden="false" customHeight="false" outlineLevel="0" collapsed="false">
      <c r="A13" s="0" t="s">
        <v>56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K13" s="0" t="n">
        <v>0</v>
      </c>
    </row>
    <row r="14" customFormat="false" ht="15" hidden="false" customHeight="false" outlineLevel="0" collapsed="false">
      <c r="A14" s="0" t="s">
        <v>57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K14" s="0" t="n">
        <v>0</v>
      </c>
    </row>
    <row r="15" customFormat="false" ht="15" hidden="false" customHeight="false" outlineLevel="0" collapsed="false">
      <c r="A15" s="0" t="s">
        <v>58</v>
      </c>
      <c r="B15" s="0" t="n">
        <v>6</v>
      </c>
      <c r="C15" s="0" t="n">
        <v>0</v>
      </c>
      <c r="D15" s="0" t="n">
        <v>0</v>
      </c>
      <c r="E15" s="0" t="n">
        <v>6</v>
      </c>
      <c r="F15" s="0" t="n">
        <v>3</v>
      </c>
      <c r="G15" s="0" t="n">
        <v>3</v>
      </c>
      <c r="H15" s="0" t="n">
        <v>0</v>
      </c>
      <c r="I15" s="0" t="n">
        <v>0</v>
      </c>
      <c r="J15" s="0" t="n">
        <v>50</v>
      </c>
      <c r="K15" s="0" t="n">
        <v>4.95333333333333</v>
      </c>
    </row>
    <row r="16" customFormat="false" ht="15" hidden="false" customHeight="false" outlineLevel="0" collapsed="false">
      <c r="A16" s="0" t="s">
        <v>59</v>
      </c>
      <c r="B16" s="0" t="n">
        <v>8</v>
      </c>
      <c r="C16" s="0" t="n">
        <v>0</v>
      </c>
      <c r="D16" s="0" t="n">
        <v>0</v>
      </c>
      <c r="E16" s="0" t="n">
        <v>8</v>
      </c>
      <c r="F16" s="0" t="n">
        <v>6</v>
      </c>
      <c r="G16" s="0" t="n">
        <v>2</v>
      </c>
      <c r="H16" s="0" t="n">
        <v>0</v>
      </c>
      <c r="I16" s="0" t="n">
        <v>0</v>
      </c>
      <c r="J16" s="0" t="n">
        <v>75</v>
      </c>
      <c r="K16" s="0" t="n">
        <v>4.08541666666667</v>
      </c>
    </row>
    <row r="17" customFormat="false" ht="15" hidden="false" customHeight="false" outlineLevel="0" collapsed="false">
      <c r="A17" s="0" t="s">
        <v>60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K17" s="0" t="n">
        <v>0</v>
      </c>
    </row>
    <row r="18" customFormat="false" ht="15" hidden="false" customHeight="false" outlineLevel="0" collapsed="false">
      <c r="A18" s="0" t="s">
        <v>61</v>
      </c>
      <c r="B18" s="0" t="n">
        <v>3</v>
      </c>
      <c r="C18" s="0" t="n">
        <v>0</v>
      </c>
      <c r="D18" s="0" t="n">
        <v>0</v>
      </c>
      <c r="E18" s="0" t="n">
        <v>3</v>
      </c>
      <c r="F18" s="0" t="n">
        <v>3</v>
      </c>
      <c r="G18" s="0" t="n">
        <v>0</v>
      </c>
      <c r="H18" s="0" t="n">
        <v>0</v>
      </c>
      <c r="I18" s="0" t="n">
        <v>0</v>
      </c>
      <c r="J18" s="0" t="n">
        <v>100</v>
      </c>
      <c r="K18" s="0" t="n">
        <v>0.613483333333333</v>
      </c>
    </row>
    <row r="19" customFormat="false" ht="15" hidden="false" customHeight="false" outlineLevel="0" collapsed="false">
      <c r="A19" s="0" t="s">
        <v>62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K19" s="0" t="n">
        <v>0</v>
      </c>
    </row>
    <row r="20" customFormat="false" ht="15" hidden="false" customHeight="false" outlineLevel="0" collapsed="false">
      <c r="A20" s="0" t="s">
        <v>63</v>
      </c>
      <c r="B20" s="0" t="n">
        <v>0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K20" s="0" t="n">
        <v>0</v>
      </c>
    </row>
    <row r="21" customFormat="false" ht="15" hidden="false" customHeight="false" outlineLevel="0" collapsed="false">
      <c r="A21" s="0" t="s">
        <v>64</v>
      </c>
      <c r="B21" s="0" t="n">
        <v>7</v>
      </c>
      <c r="C21" s="0" t="n">
        <v>0</v>
      </c>
      <c r="D21" s="0" t="n">
        <v>0</v>
      </c>
      <c r="E21" s="0" t="n">
        <v>7</v>
      </c>
      <c r="F21" s="0" t="n">
        <v>7</v>
      </c>
      <c r="G21" s="0" t="n">
        <v>0</v>
      </c>
      <c r="H21" s="0" t="n">
        <v>0</v>
      </c>
      <c r="I21" s="0" t="n">
        <v>0</v>
      </c>
      <c r="J21" s="0" t="n">
        <v>100</v>
      </c>
      <c r="K21" s="0" t="n">
        <v>1.42695</v>
      </c>
    </row>
    <row r="22" customFormat="false" ht="15" hidden="false" customHeight="false" outlineLevel="0" collapsed="false">
      <c r="A22" s="0" t="s">
        <v>65</v>
      </c>
      <c r="B22" s="0" t="n">
        <v>0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K22" s="0" t="n">
        <v>0</v>
      </c>
    </row>
    <row r="23" customFormat="false" ht="15" hidden="false" customHeight="false" outlineLevel="0" collapsed="false">
      <c r="A23" s="0" t="s">
        <v>66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K23" s="0" t="n">
        <v>0</v>
      </c>
    </row>
    <row r="24" customFormat="false" ht="15" hidden="false" customHeight="false" outlineLevel="0" collapsed="false">
      <c r="A24" s="0" t="s">
        <v>67</v>
      </c>
      <c r="B24" s="0" t="n">
        <v>0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K24" s="0" t="n">
        <v>0</v>
      </c>
    </row>
    <row r="25" customFormat="false" ht="15" hidden="false" customHeight="false" outlineLevel="0" collapsed="false">
      <c r="A25" s="0" t="s">
        <v>68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K25" s="0" t="n">
        <v>0</v>
      </c>
    </row>
    <row r="26" customFormat="false" ht="15" hidden="false" customHeight="false" outlineLevel="0" collapsed="false">
      <c r="A26" s="0" t="s">
        <v>69</v>
      </c>
      <c r="B26" s="0" t="n">
        <v>0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K26" s="0" t="n">
        <v>0</v>
      </c>
    </row>
    <row r="27" customFormat="false" ht="15" hidden="false" customHeight="false" outlineLevel="0" collapsed="false">
      <c r="A27" s="0" t="s">
        <v>70</v>
      </c>
      <c r="B27" s="0" t="n">
        <v>0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K27" s="0" t="n">
        <v>0</v>
      </c>
    </row>
    <row r="28" customFormat="false" ht="15" hidden="false" customHeight="false" outlineLevel="0" collapsed="false">
      <c r="A28" s="0" t="s">
        <v>71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K28" s="0" t="n">
        <v>0</v>
      </c>
    </row>
    <row r="29" customFormat="false" ht="15" hidden="false" customHeight="false" outlineLevel="0" collapsed="false">
      <c r="A29" s="0" t="s">
        <v>72</v>
      </c>
      <c r="B29" s="0" t="n">
        <v>0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K29" s="0" t="n">
        <v>0</v>
      </c>
    </row>
    <row r="30" customFormat="false" ht="15" hidden="false" customHeight="false" outlineLevel="0" collapsed="false">
      <c r="A30" s="0" t="s">
        <v>73</v>
      </c>
      <c r="B30" s="0" t="n">
        <v>0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K30" s="0" t="n">
        <v>0</v>
      </c>
    </row>
    <row r="31" customFormat="false" ht="15" hidden="false" customHeight="false" outlineLevel="0" collapsed="false">
      <c r="A31" s="0" t="s">
        <v>74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K31" s="0" t="n">
        <v>0</v>
      </c>
    </row>
    <row r="32" customFormat="false" ht="15" hidden="false" customHeight="false" outlineLevel="0" collapsed="false">
      <c r="A32" s="0" t="s">
        <v>75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K32" s="0" t="n">
        <v>0</v>
      </c>
    </row>
    <row r="33" customFormat="false" ht="15" hidden="false" customHeight="false" outlineLevel="0" collapsed="false">
      <c r="A33" s="0" t="s">
        <v>76</v>
      </c>
      <c r="B33" s="0" t="n">
        <v>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K33" s="0" t="n">
        <v>0</v>
      </c>
    </row>
    <row r="34" customFormat="false" ht="15" hidden="false" customHeight="false" outlineLevel="0" collapsed="false">
      <c r="A34" s="0" t="s">
        <v>77</v>
      </c>
      <c r="B34" s="0" t="n">
        <v>0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K34" s="0" t="n">
        <v>0</v>
      </c>
    </row>
    <row r="35" customFormat="false" ht="15" hidden="false" customHeight="false" outlineLevel="0" collapsed="false">
      <c r="A35" s="0" t="s">
        <v>78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K35" s="0" t="n">
        <v>0</v>
      </c>
    </row>
    <row r="36" customFormat="false" ht="15" hidden="false" customHeight="false" outlineLevel="0" collapsed="false">
      <c r="A36" s="0" t="s">
        <v>79</v>
      </c>
      <c r="B36" s="0" t="n">
        <v>0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K36" s="0" t="n">
        <v>0</v>
      </c>
    </row>
    <row r="37" customFormat="false" ht="15" hidden="false" customHeight="false" outlineLevel="0" collapsed="false">
      <c r="A37" s="0" t="s">
        <v>80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K37" s="0" t="n">
        <v>0</v>
      </c>
    </row>
    <row r="38" customFormat="false" ht="15" hidden="false" customHeight="false" outlineLevel="0" collapsed="false">
      <c r="A38" s="0" t="s">
        <v>81</v>
      </c>
      <c r="B38" s="0" t="n">
        <v>0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K38" s="0" t="n">
        <v>0</v>
      </c>
    </row>
    <row r="39" customFormat="false" ht="15" hidden="false" customHeight="false" outlineLevel="0" collapsed="false">
      <c r="A39" s="0" t="s">
        <v>82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K39" s="0" t="n">
        <v>0</v>
      </c>
    </row>
    <row r="40" customFormat="false" ht="15" hidden="false" customHeight="false" outlineLevel="0" collapsed="false">
      <c r="A40" s="0" t="s">
        <v>83</v>
      </c>
      <c r="B40" s="0" t="n">
        <v>0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K40" s="0" t="n">
        <v>0</v>
      </c>
    </row>
    <row r="41" customFormat="false" ht="15" hidden="false" customHeight="false" outlineLevel="0" collapsed="false">
      <c r="A41" s="0" t="s">
        <v>84</v>
      </c>
      <c r="B41" s="0" t="n">
        <v>0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K41" s="0" t="n">
        <v>0</v>
      </c>
    </row>
    <row r="42" customFormat="false" ht="15" hidden="false" customHeight="false" outlineLevel="0" collapsed="false">
      <c r="A42" s="0" t="s">
        <v>85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K42" s="0" t="n">
        <v>0</v>
      </c>
    </row>
    <row r="43" customFormat="false" ht="15" hidden="false" customHeight="false" outlineLevel="0" collapsed="false">
      <c r="A43" s="0" t="s">
        <v>86</v>
      </c>
      <c r="B43" s="0" t="n">
        <v>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K43" s="0" t="n">
        <v>0</v>
      </c>
    </row>
    <row r="44" customFormat="false" ht="15" hidden="false" customHeight="false" outlineLevel="0" collapsed="false">
      <c r="A44" s="0" t="s">
        <v>87</v>
      </c>
      <c r="B44" s="0" t="n">
        <v>0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K44" s="0" t="n">
        <v>0</v>
      </c>
    </row>
    <row r="45" customFormat="false" ht="15" hidden="false" customHeight="false" outlineLevel="0" collapsed="false">
      <c r="A45" s="0" t="s">
        <v>88</v>
      </c>
      <c r="B45" s="0" t="n">
        <v>2</v>
      </c>
      <c r="C45" s="0" t="n">
        <v>0</v>
      </c>
      <c r="D45" s="0" t="n">
        <v>0</v>
      </c>
      <c r="E45" s="0" t="n">
        <v>2</v>
      </c>
      <c r="F45" s="0" t="n">
        <v>1</v>
      </c>
      <c r="G45" s="0" t="n">
        <v>1</v>
      </c>
      <c r="H45" s="0" t="n">
        <v>0</v>
      </c>
      <c r="I45" s="0" t="n">
        <v>0</v>
      </c>
      <c r="J45" s="0" t="n">
        <v>50</v>
      </c>
      <c r="K45" s="0" t="n">
        <v>1.62285</v>
      </c>
    </row>
    <row r="46" customFormat="false" ht="15" hidden="false" customHeight="false" outlineLevel="0" collapsed="false">
      <c r="A46" s="0" t="s">
        <v>89</v>
      </c>
      <c r="B46" s="0" t="n">
        <f aca="false">SUM(B2:B45)</f>
        <v>59</v>
      </c>
      <c r="C46" s="0" t="n">
        <f aca="false">SUM(C2:C45)</f>
        <v>0</v>
      </c>
      <c r="D46" s="0" t="n">
        <f aca="false">SUM(D2:D45)</f>
        <v>0</v>
      </c>
      <c r="E46" s="0" t="n">
        <f aca="false">SUM(E2:E45)</f>
        <v>59</v>
      </c>
      <c r="F46" s="0" t="n">
        <f aca="false">SUM(F2:F45)</f>
        <v>51</v>
      </c>
      <c r="G46" s="0" t="n">
        <f aca="false">SUM(G2:G45)</f>
        <v>8</v>
      </c>
      <c r="H46" s="0" t="n">
        <f aca="false">SUM(H2:H45)</f>
        <v>0</v>
      </c>
      <c r="I46" s="0" t="n">
        <f aca="false">SUM(I2:I45)</f>
        <v>0</v>
      </c>
      <c r="J46" s="0" t="n">
        <f aca="false">(F46+I46)/B46*100</f>
        <v>86.4406779661017</v>
      </c>
      <c r="K46" s="0" t="n">
        <f aca="false">SUM(K2:K45)</f>
        <v>22.0024833333333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2025-11-28T08:27:14Z</dcterms:created>
  <dc:creator>openpyxl</dc:creator>
  <dc:description/>
  <dc:language>en-GB</dc:language>
  <cp:lastModifiedBy/>
  <dcterms:modified xsi:type="dcterms:W3CDTF">2026-02-02T10:28:06Z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